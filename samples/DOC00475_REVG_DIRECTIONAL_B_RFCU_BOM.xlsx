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ws-300-file01\Share\Hardware_Development\Green_Falcon_3\ASY00881_DIRECTIONAL_B_RFCU\2_System_BOM\"/>
    </mc:Choice>
  </mc:AlternateContent>
  <xr:revisionPtr revIDLastSave="0" documentId="13_ncr:1_{C09DCEBB-F07D-4027-89CB-E822BF56B3EF}" xr6:coauthVersionLast="47" xr6:coauthVersionMax="47" xr10:uidLastSave="{00000000-0000-0000-0000-000000000000}"/>
  <bookViews>
    <workbookView xWindow="-110" yWindow="-110" windowWidth="38620" windowHeight="21100" tabRatio="862" xr2:uid="{00000000-000D-0000-FFFF-FFFF00000000}"/>
  </bookViews>
  <sheets>
    <sheet name="ASY00881-01" sheetId="43" r:id="rId1"/>
    <sheet name="Change Log" sheetId="4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20" i="43" l="1"/>
  <c r="A121" i="43"/>
  <c r="H121" i="43"/>
  <c r="H131" i="43"/>
  <c r="A131" i="43"/>
  <c r="A132" i="43"/>
  <c r="A128" i="43"/>
  <c r="A129" i="43"/>
  <c r="H128" i="43"/>
  <c r="A136" i="43"/>
  <c r="A137" i="43"/>
  <c r="H136" i="43"/>
  <c r="A4" i="43" l="1"/>
  <c r="A5" i="43"/>
  <c r="A6" i="43"/>
  <c r="A7" i="43"/>
  <c r="A8" i="43"/>
  <c r="A9" i="43"/>
  <c r="A10" i="43"/>
  <c r="A11" i="43"/>
  <c r="A12" i="43"/>
  <c r="A13" i="43"/>
  <c r="H123" i="43"/>
  <c r="H5" i="43"/>
  <c r="H6" i="43"/>
  <c r="H7" i="43"/>
  <c r="H8" i="43"/>
  <c r="H9" i="43"/>
  <c r="H10" i="43"/>
  <c r="H11" i="43"/>
  <c r="H12" i="43"/>
  <c r="H13" i="43"/>
  <c r="H4" i="43"/>
  <c r="H104" i="43" l="1"/>
  <c r="H100" i="43"/>
  <c r="H101" i="43"/>
  <c r="H102" i="43"/>
  <c r="H99" i="43"/>
  <c r="H144" i="43"/>
  <c r="H145" i="43"/>
  <c r="H146" i="43"/>
  <c r="H147" i="43"/>
  <c r="H148" i="43"/>
  <c r="H149" i="43"/>
  <c r="H150" i="43"/>
  <c r="H151" i="43"/>
  <c r="H143" i="43"/>
  <c r="H135" i="43" l="1"/>
  <c r="A135" i="43"/>
  <c r="H134" i="43"/>
  <c r="A134" i="43"/>
  <c r="H133" i="43"/>
  <c r="A133" i="43"/>
  <c r="H132" i="43"/>
  <c r="H130" i="43"/>
  <c r="A130" i="43"/>
  <c r="H129" i="43"/>
  <c r="H125" i="43"/>
  <c r="A125" i="43"/>
  <c r="H124" i="43"/>
  <c r="A124" i="43"/>
  <c r="A123" i="43"/>
  <c r="H122" i="43"/>
  <c r="A122" i="43"/>
  <c r="H119" i="43"/>
  <c r="A119" i="43"/>
  <c r="H118" i="43"/>
  <c r="A118" i="43"/>
  <c r="H117" i="43"/>
  <c r="A117" i="43"/>
  <c r="H162" i="43"/>
  <c r="A162" i="43"/>
  <c r="H161" i="43"/>
  <c r="A161" i="43"/>
  <c r="H160" i="43"/>
  <c r="A160" i="43"/>
  <c r="H159" i="43"/>
  <c r="A159" i="43"/>
  <c r="H116" i="43"/>
  <c r="A116" i="43"/>
  <c r="H158" i="43"/>
  <c r="A158" i="43"/>
  <c r="H157" i="43"/>
  <c r="A157" i="43"/>
  <c r="H115" i="43"/>
  <c r="A115" i="43"/>
  <c r="H114" i="43"/>
  <c r="A114" i="43"/>
  <c r="H156" i="43"/>
  <c r="A156" i="43"/>
  <c r="H155" i="43"/>
  <c r="A155" i="43"/>
  <c r="H113" i="43"/>
  <c r="A113" i="43"/>
  <c r="H154" i="43"/>
  <c r="A154" i="43"/>
  <c r="H153" i="43"/>
  <c r="A153" i="43"/>
  <c r="H112" i="43"/>
  <c r="A112" i="43"/>
  <c r="H111" i="43"/>
  <c r="A111" i="43"/>
  <c r="H110" i="43"/>
  <c r="A110" i="43"/>
  <c r="H109" i="43"/>
  <c r="A109" i="43"/>
  <c r="H108" i="43"/>
  <c r="A108" i="43"/>
  <c r="H107" i="43"/>
  <c r="A107" i="43"/>
  <c r="H106" i="43"/>
  <c r="A106" i="43"/>
  <c r="H105" i="43"/>
  <c r="A105" i="43"/>
  <c r="H152" i="43"/>
  <c r="A152" i="43"/>
  <c r="A151" i="43"/>
  <c r="A104" i="43"/>
  <c r="H103" i="43"/>
  <c r="A103" i="43"/>
  <c r="A150" i="43"/>
  <c r="A149" i="43"/>
  <c r="A102" i="43"/>
  <c r="A148" i="43"/>
  <c r="A147" i="43"/>
  <c r="A101" i="43"/>
  <c r="A146" i="43"/>
  <c r="A145" i="43"/>
  <c r="A144" i="43"/>
  <c r="A100" i="43"/>
  <c r="A143" i="43"/>
  <c r="A99" i="43"/>
  <c r="H142" i="43"/>
  <c r="A142" i="43"/>
  <c r="H98" i="43"/>
  <c r="A98" i="43"/>
  <c r="H97" i="43"/>
  <c r="A97" i="43"/>
  <c r="H141" i="43"/>
  <c r="A141" i="43"/>
  <c r="H140" i="43"/>
  <c r="A140" i="43"/>
  <c r="H139" i="43"/>
  <c r="A139" i="43"/>
  <c r="H96" i="43"/>
  <c r="A96" i="43"/>
  <c r="H95" i="43"/>
  <c r="A95" i="43"/>
  <c r="H94" i="43"/>
  <c r="A94" i="43"/>
  <c r="H93" i="43"/>
  <c r="A93" i="43"/>
  <c r="H138" i="43"/>
  <c r="A138" i="43"/>
  <c r="H92" i="43"/>
  <c r="A92" i="43"/>
  <c r="H91" i="43"/>
  <c r="A91" i="43"/>
  <c r="H90" i="43"/>
  <c r="A90" i="43"/>
  <c r="H89" i="43"/>
  <c r="A89" i="43"/>
  <c r="H137" i="43"/>
  <c r="H88" i="43"/>
  <c r="A88" i="43"/>
  <c r="H87" i="43"/>
  <c r="A87" i="43"/>
  <c r="H86" i="43"/>
  <c r="A86" i="43"/>
  <c r="H85" i="43"/>
  <c r="A85" i="43"/>
  <c r="H127" i="43"/>
  <c r="A127" i="43"/>
  <c r="H126" i="43"/>
  <c r="A126" i="43"/>
  <c r="H84" i="43"/>
  <c r="A84" i="43"/>
  <c r="H83" i="43"/>
  <c r="A83" i="43"/>
  <c r="H82" i="43"/>
  <c r="A82" i="43"/>
  <c r="H81" i="43"/>
  <c r="A81" i="43"/>
  <c r="H80" i="43"/>
  <c r="A80" i="43"/>
  <c r="H79" i="43"/>
  <c r="A79" i="43"/>
  <c r="H78" i="43"/>
  <c r="A78" i="43"/>
  <c r="H77" i="43"/>
  <c r="A77" i="43"/>
  <c r="H76" i="43"/>
  <c r="A76" i="43"/>
  <c r="H75" i="43"/>
  <c r="A75" i="43"/>
  <c r="H74" i="43"/>
  <c r="A74" i="43"/>
  <c r="H73" i="43"/>
  <c r="A73" i="43"/>
  <c r="H72" i="43"/>
  <c r="A72" i="43"/>
  <c r="H71" i="43"/>
  <c r="A71" i="43"/>
  <c r="H70" i="43"/>
  <c r="A70" i="43"/>
  <c r="H69" i="43"/>
  <c r="A69" i="43"/>
  <c r="H68" i="43"/>
  <c r="A68" i="43"/>
  <c r="H67" i="43"/>
  <c r="A67" i="43"/>
  <c r="H66" i="43"/>
  <c r="A66" i="43"/>
  <c r="H65" i="43"/>
  <c r="A65" i="43"/>
  <c r="H64" i="43"/>
  <c r="A64" i="43"/>
  <c r="H63" i="43"/>
  <c r="A63" i="43"/>
  <c r="H62" i="43"/>
  <c r="A62" i="43"/>
  <c r="H61" i="43"/>
  <c r="A61" i="43"/>
  <c r="H60" i="43"/>
  <c r="A60" i="43"/>
  <c r="H59" i="43"/>
  <c r="A59" i="43"/>
  <c r="H58" i="43"/>
  <c r="A58" i="43"/>
  <c r="H57" i="43"/>
  <c r="A57" i="43"/>
  <c r="H56" i="43"/>
  <c r="A56" i="43"/>
  <c r="H55" i="43"/>
  <c r="A55" i="43"/>
  <c r="H54" i="43"/>
  <c r="A54" i="43"/>
  <c r="H53" i="43"/>
  <c r="A53" i="43"/>
  <c r="H52" i="43"/>
  <c r="A52" i="43"/>
  <c r="H51" i="43"/>
  <c r="A51" i="43"/>
  <c r="H50" i="43"/>
  <c r="A50" i="43"/>
  <c r="H49" i="43"/>
  <c r="A49" i="43"/>
  <c r="H48" i="43"/>
  <c r="A48" i="43"/>
  <c r="H47" i="43"/>
  <c r="A47" i="43"/>
  <c r="H46" i="43"/>
  <c r="A46" i="43"/>
  <c r="H45" i="43"/>
  <c r="A45" i="43"/>
  <c r="H44" i="43"/>
  <c r="A44" i="43"/>
  <c r="H43" i="43"/>
  <c r="A43" i="43"/>
  <c r="H42" i="43"/>
  <c r="A42" i="43"/>
  <c r="H41" i="43"/>
  <c r="A41" i="43"/>
  <c r="H40" i="43"/>
  <c r="A40" i="43"/>
  <c r="H39" i="43"/>
  <c r="A39" i="43"/>
  <c r="H38" i="43"/>
  <c r="A38" i="43"/>
  <c r="H37" i="43"/>
  <c r="A37" i="43"/>
  <c r="H36" i="43"/>
  <c r="A36" i="43"/>
  <c r="H35" i="43"/>
  <c r="A35" i="43"/>
  <c r="H34" i="43"/>
  <c r="A34" i="43"/>
  <c r="H33" i="43"/>
  <c r="A33" i="43"/>
  <c r="H32" i="43"/>
  <c r="A32" i="43"/>
  <c r="H31" i="43"/>
  <c r="A31" i="43"/>
  <c r="H30" i="43"/>
  <c r="A30" i="43"/>
  <c r="H29" i="43"/>
  <c r="A29" i="43"/>
  <c r="H28" i="43"/>
  <c r="A28" i="43"/>
  <c r="H27" i="43"/>
  <c r="A27" i="43"/>
  <c r="H26" i="43"/>
  <c r="A26" i="43"/>
  <c r="H25" i="43"/>
  <c r="A25" i="43"/>
  <c r="H24" i="43"/>
  <c r="A24" i="43"/>
  <c r="H23" i="43"/>
  <c r="A23" i="43"/>
  <c r="H22" i="43"/>
  <c r="A22" i="43"/>
  <c r="H21" i="43"/>
  <c r="A21" i="43"/>
  <c r="H20" i="43"/>
  <c r="A20" i="43"/>
  <c r="H19" i="43"/>
  <c r="A19" i="43"/>
  <c r="H18" i="43"/>
  <c r="A18" i="43"/>
  <c r="H17" i="43"/>
  <c r="A17" i="43"/>
  <c r="H16" i="43"/>
  <c r="A16" i="43"/>
  <c r="H15" i="43"/>
  <c r="A15" i="43"/>
  <c r="H14" i="43"/>
  <c r="A14" i="43"/>
  <c r="C176" i="43"/>
  <c r="A4" i="46" l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H163" i="43" l="1"/>
</calcChain>
</file>

<file path=xl/sharedStrings.xml><?xml version="1.0" encoding="utf-8"?>
<sst xmlns="http://schemas.openxmlformats.org/spreadsheetml/2006/main" count="691" uniqueCount="472">
  <si>
    <t>Total</t>
  </si>
  <si>
    <t>Unit Cost</t>
  </si>
  <si>
    <t>Date</t>
  </si>
  <si>
    <t>Item</t>
  </si>
  <si>
    <t>Description</t>
  </si>
  <si>
    <t>P/N</t>
  </si>
  <si>
    <t>Manufacturer</t>
  </si>
  <si>
    <t>QTY</t>
  </si>
  <si>
    <t>ME:</t>
  </si>
  <si>
    <t>EE:</t>
  </si>
  <si>
    <t>Document #</t>
  </si>
  <si>
    <t>CHANGE LOG</t>
  </si>
  <si>
    <t>Notes/Comments</t>
  </si>
  <si>
    <t>ECN #</t>
  </si>
  <si>
    <t>ERB Approval Date</t>
  </si>
  <si>
    <t>Change Description (Include Line #s)</t>
  </si>
  <si>
    <t>Change Author</t>
  </si>
  <si>
    <t>Other Affected Items</t>
  </si>
  <si>
    <t xml:space="preserve">Approval </t>
  </si>
  <si>
    <t>First Initial Last Name</t>
  </si>
  <si>
    <t>Production Lead:</t>
  </si>
  <si>
    <t>Key</t>
  </si>
  <si>
    <t>May be in Stock</t>
  </si>
  <si>
    <t>Author:</t>
  </si>
  <si>
    <t>Revision:</t>
  </si>
  <si>
    <t>Lead Time/ARO</t>
  </si>
  <si>
    <t>Notes</t>
  </si>
  <si>
    <t>Ref. Designator</t>
  </si>
  <si>
    <t>Line Cost</t>
  </si>
  <si>
    <t>ASY00881-01 [DIRECTIONAL B RFCU]</t>
  </si>
  <si>
    <t>SLIDE, MODULAR STACK</t>
  </si>
  <si>
    <t>DES02105-01 REVB</t>
  </si>
  <si>
    <t>CACI INTERNATIONAL INC</t>
  </si>
  <si>
    <t>COST PER EXACTMAX</t>
  </si>
  <si>
    <t>ENCLOSURE</t>
  </si>
  <si>
    <t>NEW PART. ENG. ESTIMATE.</t>
  </si>
  <si>
    <t>PANEL, PATCH</t>
  </si>
  <si>
    <t>GASKET, PATCH PANEL</t>
  </si>
  <si>
    <t>DES02117-01 REVB</t>
  </si>
  <si>
    <t>GASKET, COVER, PATCH PANEL</t>
  </si>
  <si>
    <t>DES02119-01 REVB</t>
  </si>
  <si>
    <t>LID</t>
  </si>
  <si>
    <t>HEATSINK, POWER SUPPLY</t>
  </si>
  <si>
    <t>DES02123-01 REVB</t>
  </si>
  <si>
    <t>GASKET, HEATSINK</t>
  </si>
  <si>
    <t>DES02124-01 REVA</t>
  </si>
  <si>
    <t>DES02125-01 REVB</t>
  </si>
  <si>
    <t>THERMAL PAD</t>
  </si>
  <si>
    <t>DES02126-01 REVA</t>
  </si>
  <si>
    <t>INSULATION</t>
  </si>
  <si>
    <t>DES02139-01 REVA</t>
  </si>
  <si>
    <t>DES02139-02 REVA</t>
  </si>
  <si>
    <t>DES02140-01 REVA</t>
  </si>
  <si>
    <t>DES02141-01 REVA</t>
  </si>
  <si>
    <t>DES02162-01 REVA</t>
  </si>
  <si>
    <t>COVER, HEATSINK</t>
  </si>
  <si>
    <t>DES02185-01 REVB</t>
  </si>
  <si>
    <t>BRACKET, HEATSINK COVER</t>
  </si>
  <si>
    <t>DES02186-01 REVA</t>
  </si>
  <si>
    <t>TRAY, RFCU COMPONENT, MODULAR</t>
  </si>
  <si>
    <t>PLATE, BASE, MODULAR STACK</t>
  </si>
  <si>
    <t>DES03056-01 REVA</t>
  </si>
  <si>
    <t>PLATE, TOP, MODULAR STACK</t>
  </si>
  <si>
    <t>BRACKET, SUPPORT, MODULAR STACK</t>
  </si>
  <si>
    <t>DES03059-01 REVA</t>
  </si>
  <si>
    <t>SLIDE, TRAY, BOTTOM</t>
  </si>
  <si>
    <t>DES03061-01 REVA</t>
  </si>
  <si>
    <t>SLIDE, TRAY, TOP</t>
  </si>
  <si>
    <t>DES03062-01 REVA</t>
  </si>
  <si>
    <t>PLATE, SIDE, MODULAR STACK</t>
  </si>
  <si>
    <t>DES03063-01 REVA</t>
  </si>
  <si>
    <t>BRACKET, POWER SUPPLY</t>
  </si>
  <si>
    <t>PLATE, MAIN</t>
  </si>
  <si>
    <t xml:space="preserve">SHROUD, THERMOELECTRIC COOLER, DUAL </t>
  </si>
  <si>
    <t>DES03074-01 REVA</t>
  </si>
  <si>
    <t>PLATE, MOUNTING, PCB</t>
  </si>
  <si>
    <t>DES03076-01 REVA</t>
  </si>
  <si>
    <t>ADAPTER RING</t>
  </si>
  <si>
    <t>DES03078-01 REVA</t>
  </si>
  <si>
    <t>PLATE, MOUNTING, DIPLEXER</t>
  </si>
  <si>
    <t>DES03079-01 REVA</t>
  </si>
  <si>
    <t>DES03080-01 REVA</t>
  </si>
  <si>
    <t>COVER, SMA JUMPER</t>
  </si>
  <si>
    <t>DES03082-01 REVA</t>
  </si>
  <si>
    <t>BRACKET, PCB</t>
  </si>
  <si>
    <t>DES03097-01 REVA</t>
  </si>
  <si>
    <t>TRAY, DRIP</t>
  </si>
  <si>
    <t>DES03098-01 REVA</t>
  </si>
  <si>
    <t>BUMPER, LID</t>
  </si>
  <si>
    <t>DES03099-01 REVA</t>
  </si>
  <si>
    <t>DES03102-01 REVA</t>
  </si>
  <si>
    <t>DES03103-01 REVA</t>
  </si>
  <si>
    <t>DES03104-01 REVA</t>
  </si>
  <si>
    <t>DIVERTER, TEC</t>
  </si>
  <si>
    <t>GASKET, ADAPTER RING, DUAL SLOT</t>
  </si>
  <si>
    <t>DES03108-01 REVA</t>
  </si>
  <si>
    <t xml:space="preserve">GASKET, TRAY, RETENTION BRACKET </t>
  </si>
  <si>
    <t>DES03109-01 REVA</t>
  </si>
  <si>
    <t>LABEL, ID</t>
  </si>
  <si>
    <t>DES04079-01 REV-</t>
  </si>
  <si>
    <t>DES04107-01 REV-</t>
  </si>
  <si>
    <t>NEW PART. ENG. ESTIMATE</t>
  </si>
  <si>
    <t>MOUNTING BLOCK, RFCU TRAY</t>
  </si>
  <si>
    <t>DES04153-01 REV-</t>
  </si>
  <si>
    <t>PCB, AC POWER DISTRIBUTION WITH FUSE</t>
  </si>
  <si>
    <t>PCB00005-01 REVB</t>
  </si>
  <si>
    <t>ADVANCED ASSEMBLY QUOTE #: 109422</t>
  </si>
  <si>
    <t>BOARD, DISTRIBUTION, POWER, VERTICAL CONNECTORS, 6 POS</t>
  </si>
  <si>
    <t>PCB00010-106 REV-</t>
  </si>
  <si>
    <t>UNIT COST FOR BARE BOARD,  ADDITIONAL $0.92/SECTION</t>
  </si>
  <si>
    <t>PCB, MODULAR RFCU, GF3</t>
  </si>
  <si>
    <t>$5,051.69 EACH</t>
  </si>
  <si>
    <t>$3,485.68 EACH</t>
  </si>
  <si>
    <t>PCB, RFCU INTERNAL CONTROL BOARD, GF3</t>
  </si>
  <si>
    <t>$2,248.13 EACH</t>
  </si>
  <si>
    <t>PCB, TEC COOLER CONTROL BOARD</t>
  </si>
  <si>
    <t>$1726.54 EACH</t>
  </si>
  <si>
    <t>PCB, ANT MPLX NS SWITCH, 8GHZ MAX</t>
  </si>
  <si>
    <t>PCB03002-08 REV-</t>
  </si>
  <si>
    <t>GASKET, CONNECTOR, SHELL SIZE 10</t>
  </si>
  <si>
    <t>10-101949-010</t>
  </si>
  <si>
    <t>AMPHENOL CORPORATION</t>
  </si>
  <si>
    <t>$0.18 EACH</t>
  </si>
  <si>
    <t>GASKET, CONNECTOR, SHELL SIZE 14</t>
  </si>
  <si>
    <t>10-101949-014</t>
  </si>
  <si>
    <t>$0.44 EACH</t>
  </si>
  <si>
    <t>GASKET, CONNECTOR, SHELL SIZE 18</t>
  </si>
  <si>
    <t>10-101949-018</t>
  </si>
  <si>
    <t>$0.64 EACH</t>
  </si>
  <si>
    <t>GASKET, CONNECTOR, SHELL SIZE 22</t>
  </si>
  <si>
    <t>10-101949-022</t>
  </si>
  <si>
    <t>$0.72 EACH</t>
  </si>
  <si>
    <t>DUST CAP, SHELL SIZE 17, CADMIUM</t>
  </si>
  <si>
    <t>D38999-33W17R</t>
  </si>
  <si>
    <t>$15.31 EACH</t>
  </si>
  <si>
    <t>DUST CAP, SHELL SIZE 14, EXT LG SS ROPE, OLIVE COLOR</t>
  </si>
  <si>
    <t>MS3181-14RWL</t>
  </si>
  <si>
    <t>$21.82 EACH</t>
  </si>
  <si>
    <t>DUST CAP, SHELL SIZE 22, EXT LG SS ROPE, OLIVE COLOR</t>
  </si>
  <si>
    <t>MS3181-22RWL</t>
  </si>
  <si>
    <t>$24.57 EACH</t>
  </si>
  <si>
    <t>LED, PANEL MOUNT, HIGH INTENSITY, WATERTIGHT, RED, 24VDC</t>
  </si>
  <si>
    <t>557-1505-203F</t>
  </si>
  <si>
    <t>DIALIGHT CORPORATION</t>
  </si>
  <si>
    <t>$14.76 EACH</t>
  </si>
  <si>
    <t>LED, PANEL MOUNT, HIGH INTENSITY, WATERTIGHT, GREEN, 24VDC</t>
  </si>
  <si>
    <t>557-1605-203F</t>
  </si>
  <si>
    <t>$16.32 EACH</t>
  </si>
  <si>
    <t>CLAMP, CABLE, ADHESIVE/SCREW MOUNT, LOCKING, .472 DIA</t>
  </si>
  <si>
    <t>CCA003A</t>
  </si>
  <si>
    <t>ESSENTRA COMPONENTS</t>
  </si>
  <si>
    <t>QTY=1-9 $0.82, QTY=10-19 $0.67</t>
  </si>
  <si>
    <t>MOUNT, CABLE TIE, ADHESIVE, 1X1</t>
  </si>
  <si>
    <t>FTH-7A-RT-M</t>
  </si>
  <si>
    <t>QTY. 1-1000: $0.28</t>
  </si>
  <si>
    <t>MOUNT, CABLE TIE, ADHESIVE, 1/2 X 1/2"</t>
  </si>
  <si>
    <t>MFTH-2-01A-RT-C</t>
  </si>
  <si>
    <t>QTY. 1-199: $0.36, QTY. 200-499: $0.32</t>
  </si>
  <si>
    <t>CLIP, CABLE SADDLE, ADHESIVE MOUNT</t>
  </si>
  <si>
    <t>MWSB-1-01A-RT</t>
  </si>
  <si>
    <t>QTY=1-9 $0.45/EA, QTY=10-24 $0.33/EA</t>
  </si>
  <si>
    <t>CONNECTOR CAP, N-TYPE(M), 2.76 LG CHAIN</t>
  </si>
  <si>
    <t>SC2011C</t>
  </si>
  <si>
    <t>FAIRVIEW MICROWAVE, INC</t>
  </si>
  <si>
    <t>$7.54 EACH</t>
  </si>
  <si>
    <t>ADAPTER, FLANGE, TYPE-N(F) TO SMA(F), 18-GHZ</t>
  </si>
  <si>
    <t>SM4233</t>
  </si>
  <si>
    <t>$105.08 EACH</t>
  </si>
  <si>
    <t>HINGE, BUTT, WITH HOLES, 2 WD, 2 LG, .187 THK</t>
  </si>
  <si>
    <t>H A GUDEN COMPANY, INC</t>
  </si>
  <si>
    <t>$9.59 EACH</t>
  </si>
  <si>
    <t>CORDGRIP, LIQUID TIGHT, LTCG 9, WITH NYLON LOCKNUTS</t>
  </si>
  <si>
    <t>M3210GAP</t>
  </si>
  <si>
    <t>HEYCO INC</t>
  </si>
  <si>
    <t xml:space="preserve">$1.00 EACH </t>
  </si>
  <si>
    <t>DOOR SWITCH, PLUNGER TYPE, 1 NC, 0.5A, 230VAC</t>
  </si>
  <si>
    <t>ALFSWD</t>
  </si>
  <si>
    <t>HOFFMAN ENCLOSURES, INC</t>
  </si>
  <si>
    <t>$39.75 EACH</t>
  </si>
  <si>
    <t>BREATHER VENT, W/ WEEP HOLE</t>
  </si>
  <si>
    <t>EXEBDM20SS6</t>
  </si>
  <si>
    <t>HOFFMAN ENCLOSURES INC</t>
  </si>
  <si>
    <t>$70.20 EACH</t>
  </si>
  <si>
    <t>RF SWITCH, ELECTRO-MECHANICAL, 1P2T, TTL, DC-18GHZ, 24VDC</t>
  </si>
  <si>
    <t>RF SWITCH, ELECTRO-MECHANICAL, 1P4T, TTL, DC-18GHZ, 24VDC</t>
  </si>
  <si>
    <t>FUSE, CARTRIDGE, CERAMIC BODY, 250V, 0.1515 OHM, 5X20MM</t>
  </si>
  <si>
    <t>0215001.MXP</t>
  </si>
  <si>
    <t>LITTELFUSE, INC</t>
  </si>
  <si>
    <t>QTY=1-9 $1.51, QTY=10-49 $1.10</t>
  </si>
  <si>
    <t>FUSE, CARTRIDGE, CERAMIC BODY, 250V, 0.0033 OHM, 5X20MM</t>
  </si>
  <si>
    <t>0215015.MXP</t>
  </si>
  <si>
    <t xml:space="preserve">FUSE HOLDER, MOLDED, SCREW MOUNT, 6.3 A, 5X20MM </t>
  </si>
  <si>
    <t>$0.78 EACH</t>
  </si>
  <si>
    <t>LOCK, COMBINATION, 2 WD, 5/16 THK SHACKLE</t>
  </si>
  <si>
    <t>175LH</t>
  </si>
  <si>
    <t>MASTER LOCK COMPANY LLC</t>
  </si>
  <si>
    <t>$30.14 EACH</t>
  </si>
  <si>
    <t>THREADLOCKER, LOCTITE 222, PURPLE, 1.69OZ BOTTLE</t>
  </si>
  <si>
    <t>1810A28</t>
  </si>
  <si>
    <t>MCMASTER-CARR SUPPLY COMPANY</t>
  </si>
  <si>
    <t>$40.42 EACH</t>
  </si>
  <si>
    <t>HANDLE, FOLDING ROUND, LOAD RATED, 4-3/4 WD</t>
  </si>
  <si>
    <t>1885A14</t>
  </si>
  <si>
    <t>$50.50 EACH</t>
  </si>
  <si>
    <t>GUARD, FINGER, FAN, 92MM</t>
  </si>
  <si>
    <t>19155K124</t>
  </si>
  <si>
    <t>$3.87 EACH</t>
  </si>
  <si>
    <t>O-RING, 0.801 ID, 0.941 OD, 0.07 WD, SQUARE PROFILE, DUROMETER 70A</t>
  </si>
  <si>
    <t>4061T124</t>
  </si>
  <si>
    <t>$12.96/PK OF 100</t>
  </si>
  <si>
    <t>LATCH, GASKET-SEALING, 1-3/16 LATCHING DISTANCE</t>
  </si>
  <si>
    <t>4567A15</t>
  </si>
  <si>
    <t>$20.46 EACH</t>
  </si>
  <si>
    <t>ISOPROPYL ALCOHOL, 16OZ BOTTLE</t>
  </si>
  <si>
    <t>54845T42</t>
  </si>
  <si>
    <t>$2.44 EACH</t>
  </si>
  <si>
    <t>BRACKET, MOUNTING, 18MM OD THRU HOLE</t>
  </si>
  <si>
    <t>55205K115</t>
  </si>
  <si>
    <t>$17.86 EACH</t>
  </si>
  <si>
    <t>SEALANT, 10.1 OZ CARTRIDGE, DUROMETER 20A, WHITE COLOR</t>
  </si>
  <si>
    <t>7425A5</t>
  </si>
  <si>
    <t>$6.66 EACH</t>
  </si>
  <si>
    <t xml:space="preserve">FOIL TAPE, ACRYLIC ADHESIVE, 2 WD, .005 THK, 15 FT LG </t>
  </si>
  <si>
    <t>7631A82</t>
  </si>
  <si>
    <t>$5.62 EACH</t>
  </si>
  <si>
    <t>WASHER, FLAT, #8, .375 OD, .174 ID, .024-.038 THK</t>
  </si>
  <si>
    <t>90107A010</t>
  </si>
  <si>
    <t>$4.11/PK OF 100</t>
  </si>
  <si>
    <t>SCREW, PAN HEAD, PHILLIPS, M3X0.5 6G, 6MM LG</t>
  </si>
  <si>
    <t>90116A151</t>
  </si>
  <si>
    <t>$9.57/PK OF 100</t>
  </si>
  <si>
    <t>SCREW, PAN HEAD, PHILLIPS, M4X0.7 6G, 6MM LG</t>
  </si>
  <si>
    <t>90116A202</t>
  </si>
  <si>
    <t>$14.80/PK OF 100</t>
  </si>
  <si>
    <t>SCREW, PAN HEAD, PHILLIPS, M4X0.7 6G, 14MM LG</t>
  </si>
  <si>
    <t>90116A211</t>
  </si>
  <si>
    <t>$14.54/PK OF 50</t>
  </si>
  <si>
    <t>WASHER, PLASTIC, #8 SCREW, .408 OD, .177 ID, .055-.070 THK</t>
  </si>
  <si>
    <t>90295A410</t>
  </si>
  <si>
    <t>$11.70/PK OF 100</t>
  </si>
  <si>
    <t>SCREW, PAN HEAD, SELF SEALING, PHILLIPS, 6-32 UNC 2A, 3/8 LG</t>
  </si>
  <si>
    <t>90825A164</t>
  </si>
  <si>
    <t>$6.59/PK OF 10</t>
  </si>
  <si>
    <t>WASHER, FLAT, M4, 9.0MM OD, 4.3MM ID, 0.7-0.9MM THK</t>
  </si>
  <si>
    <t>90965A150</t>
  </si>
  <si>
    <t>$4.83/PK OF 100</t>
  </si>
  <si>
    <t>SCREW, PAN HEAD, PHILLIPS, 4-40 UNC 2A, 3/16 LG</t>
  </si>
  <si>
    <t>91400A104 (MS51957-12)</t>
  </si>
  <si>
    <t>$6.95/PK OF 100</t>
  </si>
  <si>
    <t>SCREW, PAN HEAD, PHILLIPS, 4-40 UNC 2A, 1/4 LG</t>
  </si>
  <si>
    <t>91400A106 (MS51957-13)</t>
  </si>
  <si>
    <t>$7.43/PK OF 100</t>
  </si>
  <si>
    <t>SCREW, PAN HEAD, PHILLIPS, 4-40 UNC 2A, 5/16 LG</t>
  </si>
  <si>
    <t>91400A107 (MS51957-14)</t>
  </si>
  <si>
    <t>$7.13/PK OF 100</t>
  </si>
  <si>
    <t>SCREW, PAN HEAD, PHILLIPS, 4-40 UNC 2A, 3/8 LG</t>
  </si>
  <si>
    <t>91400A108 (MS51957-15)</t>
  </si>
  <si>
    <t>$7.53/PK OF 100</t>
  </si>
  <si>
    <t>SCREW, PAN HEAD, PHILLIPS, 4-40 UNC 2A, 5/8 LG</t>
  </si>
  <si>
    <t>91400A114 (MS51957-18)</t>
  </si>
  <si>
    <t>$8.50/PK OF 100</t>
  </si>
  <si>
    <t>SCREW, PAN HEAD, PHILLIPS, 6-32 UNC 2A, 1/4 LG</t>
  </si>
  <si>
    <t>91400A144 (MS51957-26)</t>
  </si>
  <si>
    <t>$7.00/PK OF 100</t>
  </si>
  <si>
    <t>SCREW, PAN HEAD, PHILLIPS, 6-32 UNC 2A, 5/16 LG</t>
  </si>
  <si>
    <t>91400A145 (MS51957-27)</t>
  </si>
  <si>
    <t>$9.75/PK OF 100</t>
  </si>
  <si>
    <t>SCREW, PAN HEAD, PHILLIPS, 6-32 UNC 2A, 3/8 LG</t>
  </si>
  <si>
    <t>91400A146 (MS51957-28)</t>
  </si>
  <si>
    <t>SCREW, PAN HEAD, PHILLIPS, 8-32 UNC 2A, 1/4 LG</t>
  </si>
  <si>
    <t>91400A190 (MS51957-41)</t>
  </si>
  <si>
    <t>$7.63/PK OF 50</t>
  </si>
  <si>
    <t>SCREW, PAN HEAD, PHILLIPS, 8-32 UNC 2A, 5/16 LG</t>
  </si>
  <si>
    <t>91400A191 (MS51957-42)</t>
  </si>
  <si>
    <t>$6.88/PK OF 50</t>
  </si>
  <si>
    <t>SCREW, PAN HEAD, PHILLIPS, 8-32 UNC 2A, 3/8 LG</t>
  </si>
  <si>
    <t>91400A192 (MS51957-43)</t>
  </si>
  <si>
    <t>$7.00/PK OF 50</t>
  </si>
  <si>
    <t>SCREW, PAN HEAD, PHILLIPS, 8-32 UNC 2A, 3/4 LG</t>
  </si>
  <si>
    <t>91400A197 (MS51957-47)</t>
  </si>
  <si>
    <t>$5.07/PK OF 25</t>
  </si>
  <si>
    <t>SCREW, PAN HEAD, PHILLIPS, 8-32 UNC 2A, 1-3/4 LG</t>
  </si>
  <si>
    <t>91400A204 (MS51957-52)</t>
  </si>
  <si>
    <t>$11.45/PK OF 25</t>
  </si>
  <si>
    <t>SCREW, PAN HEAD, PHILLIPS, 10-32 UNF 2A, 5/16 LG</t>
  </si>
  <si>
    <t>91400A825 (MS51958-60)</t>
  </si>
  <si>
    <t>$14.85/PK OF 50</t>
  </si>
  <si>
    <t>SCREW, PAN HEAD, PHILLIPS, 10-32 UNF 2A, 3/8 LG</t>
  </si>
  <si>
    <t>91400A827 (MS51958-61)</t>
  </si>
  <si>
    <t>$7.25/PK OF 50</t>
  </si>
  <si>
    <t>THREADLOCKER, LOCTITE 242, BLUE, 1.69OZ BOTTLE</t>
  </si>
  <si>
    <t>91458A113</t>
  </si>
  <si>
    <t>$42.82 EACH</t>
  </si>
  <si>
    <t>SCREW, FLAT HEAD, 82°, TORX TAMPER-RESISTANT, 8-32 UNC 2A, 5/16 LG</t>
  </si>
  <si>
    <t>91870A190</t>
  </si>
  <si>
    <t>$9.93/PK OF 25</t>
  </si>
  <si>
    <t>SCREW, BUTTON HEAD, TORX, TAMPER-RESISTANT, 6-32 UNC 3A, 5/16 LG</t>
  </si>
  <si>
    <t>91900A145</t>
  </si>
  <si>
    <t>$16.26/PK OF 50</t>
  </si>
  <si>
    <t>SCREW, BUTTON HEAD, TAMPER-RESISTANT, 8-32 UNC 3A, 1/2 LG</t>
  </si>
  <si>
    <t>91900A194</t>
  </si>
  <si>
    <t>$13.27/PK OF 25</t>
  </si>
  <si>
    <t>SCREW, BUTTON HEAD, TORX, TAMPER-RESISTANT, 8-32 UNC 3A, 3/4 LG</t>
  </si>
  <si>
    <t>91900A197</t>
  </si>
  <si>
    <t>$14.93/PK OF 25</t>
  </si>
  <si>
    <t>SCREW, BUTTON HEAD, TORX, TAMPER-RESISTANT, M6X1 6G, 10MM LG</t>
  </si>
  <si>
    <t>91900A859</t>
  </si>
  <si>
    <t>$14.21/PK OF 25</t>
  </si>
  <si>
    <t>SCREW, SOCKET HEAD, HEX DRIVE, 3/8-16 UNC 3A, 5/8 LG</t>
  </si>
  <si>
    <t>92200A674 (MS16995-78)</t>
  </si>
  <si>
    <t>$7.81 EACH</t>
  </si>
  <si>
    <t>SCREW, FLAT HEAD, 100°, PHILLIPS, 2-56 UNC 2A, 3/16 LG</t>
  </si>
  <si>
    <t>93085A015 (NAS662C2R3)</t>
  </si>
  <si>
    <t>$9.32/PK OF 100</t>
  </si>
  <si>
    <t>SCREW, FLAT HEAD, 100°, PHILLIPS, 4-40 UNC 2A, 1/4 LG</t>
  </si>
  <si>
    <t>93085A106 (MS24693-C2)</t>
  </si>
  <si>
    <t>$16.40/PK OF 100</t>
  </si>
  <si>
    <t>SCREW, FLAT HEAD, 100°, PHILLIPS, 6-32 UNC 2A, 1/4 LG</t>
  </si>
  <si>
    <t>93085A144 (MS24693-C24)</t>
  </si>
  <si>
    <t>$16.95/PK OF 100</t>
  </si>
  <si>
    <t>SCREW, FLAT HEAD, 100°, PHILLIPS, 6-32 UNC 2A, 5/16 LG</t>
  </si>
  <si>
    <t>93085A145 (MS24693-C25)</t>
  </si>
  <si>
    <t>$20.81/PK OF 100</t>
  </si>
  <si>
    <t>SCREW, FLAT HEAD, 100°, PHILLIPS, 6-32 UNC 2A, 3/8 LG</t>
  </si>
  <si>
    <t>93085A146 (MS24693-C26)</t>
  </si>
  <si>
    <t>$17.59/PK OF 100</t>
  </si>
  <si>
    <t>SCREW, FLAT HEAD, 100°, PHILLIPS, 8-32 UNC 2A, 3/8 LG</t>
  </si>
  <si>
    <t>93085A192 (MS24693-C48)</t>
  </si>
  <si>
    <t>$11.43/PK OF 50</t>
  </si>
  <si>
    <t>SEAL, RIBBED, ADHESIVE-BACK .5 WD, .3 HT, 10 FT LG</t>
  </si>
  <si>
    <t>93085K42</t>
  </si>
  <si>
    <t>$1.59/FT</t>
  </si>
  <si>
    <t>LOCKNUT, HEX, NYLON INSERT, 6-32 UNC 3B, 5/16 WD, 3/16 THK</t>
  </si>
  <si>
    <t>96345A220 (MS21044-C06)</t>
  </si>
  <si>
    <t>$5.78/PK OF 10</t>
  </si>
  <si>
    <t>LOCKNUT, HEX, NYLON INSERT, 8-32 UNC 3B, 11/32 WD, 9/32 THK</t>
  </si>
  <si>
    <t>96345A230 (MS21044-C08)</t>
  </si>
  <si>
    <t>$8.00/PK OF 10</t>
  </si>
  <si>
    <t>LOCKNUT, HEX, NYLON-INSERT, 3/8-16 UNJC 3B, 9/16 WD, 29/64 THK</t>
  </si>
  <si>
    <t>96345A320 (MS17830-6C)</t>
  </si>
  <si>
    <t>$4.54 EACH</t>
  </si>
  <si>
    <t>SCREW, FLAT HEAD, 82°, PHILLIPS, 6-32 UNC 2A, 1/4 LG</t>
  </si>
  <si>
    <t>96877A305 (MS51959-26)</t>
  </si>
  <si>
    <t>$7.52/PK OF 50</t>
  </si>
  <si>
    <t>WASHER, FLAT, #4, .312 OD, .125 ID, .025-.040 THK</t>
  </si>
  <si>
    <t>98019A310 (MS15795-804)</t>
  </si>
  <si>
    <t>$24.21/PK OF 500</t>
  </si>
  <si>
    <t>WASHER, FLAT, #6, .375 OD, .156 ID, .036-.065 THK</t>
  </si>
  <si>
    <t>98019A315 (MS15795-806)</t>
  </si>
  <si>
    <t>$22.49/PK OF 250</t>
  </si>
  <si>
    <t>WASHER, FLAT, #8, .438 OD, .188 ID, .036-.065 THK</t>
  </si>
  <si>
    <t>98019A326 (MS15795-841)</t>
  </si>
  <si>
    <t>$16.80/PK OF 125</t>
  </si>
  <si>
    <t>WASHER, FLAT, 3/8, .812 OD, .406 ID, .051-.080 THK</t>
  </si>
  <si>
    <t>98019A399 (MS15795-814)</t>
  </si>
  <si>
    <t>$23.59/PK OF 50</t>
  </si>
  <si>
    <t>WASHER, FLAT, 3/8, 1.000 OD, .438 ID, .064-.104 THK</t>
  </si>
  <si>
    <t>98019A500 (MS15795-815)</t>
  </si>
  <si>
    <t>$10.91/PK OF 10</t>
  </si>
  <si>
    <t>SCREW, FLAT HEAD, 100°, SEALING, PHILLIPS, 6-32 UNC 2A, 3/8 LG</t>
  </si>
  <si>
    <t>98070A230</t>
  </si>
  <si>
    <t>$6.57/PK OF 10</t>
  </si>
  <si>
    <t>POWER SUPPLY, AC/DC, 48V OUT, 2500W, CONDUCTION COOLING</t>
  </si>
  <si>
    <t>UHP-2500-48</t>
  </si>
  <si>
    <t>MEAN WELL USA, INC</t>
  </si>
  <si>
    <t>$656.00 EACH</t>
  </si>
  <si>
    <t>DIPLEXER, 200-360MHZ, 440-800MHZ</t>
  </si>
  <si>
    <t>106-990-0398</t>
  </si>
  <si>
    <t>MILLENNIUM MICROWAVE CORPORATION</t>
  </si>
  <si>
    <t>DIPLEXER, 200-500MHZ, 600-800MHZ</t>
  </si>
  <si>
    <t>106-990-0434</t>
  </si>
  <si>
    <t>TERMINATION, SMA, 50OHM, DC-18000 MHZ</t>
  </si>
  <si>
    <t>ANNE-50+</t>
  </si>
  <si>
    <t>MINI-CIRCUITS</t>
  </si>
  <si>
    <t>$10.95 EACH</t>
  </si>
  <si>
    <t>AMPLIFIER, SOLID STATE, 200-800MHZ, 150W OUTPUT</t>
  </si>
  <si>
    <t>PA0028-150W</t>
  </si>
  <si>
    <t>MTRON PTI</t>
  </si>
  <si>
    <t>$16,250.00 EACH</t>
  </si>
  <si>
    <t>FAN, AXIAL, 92X92X38MM, 48VDC, 178 CFM, IP68</t>
  </si>
  <si>
    <t>9WV0948P1H001</t>
  </si>
  <si>
    <t>SANYO DENKI AMERICA INC</t>
  </si>
  <si>
    <t>QTY. 1-9: $54.83, QTY. 10-28: $49.62, QTY. 28+: $42.21</t>
  </si>
  <si>
    <t>ADAPTER, QUARTERBACK FEMALE TO SMA FEMALE</t>
  </si>
  <si>
    <t>1112-6107</t>
  </si>
  <si>
    <t>SV MICROWAVE, INC</t>
  </si>
  <si>
    <t>$135.25 EACH, PER MICROWAVE COMPONENTS QUOTE# 107664</t>
  </si>
  <si>
    <t>THERMOELECTRIC COOLER, 250W, DUAL 4-WIRE FANS, GASKET W/ ADHESIVE</t>
  </si>
  <si>
    <t>AC-3938</t>
  </si>
  <si>
    <t>T E TECHNOLOGY, INC</t>
  </si>
  <si>
    <t>$1,963.00 EACH</t>
  </si>
  <si>
    <t>HEATSINK, AMPLIFIER, 9 WD, 2.905 HT, 15 LG</t>
  </si>
  <si>
    <t>WAKEFIELD-VETTE</t>
  </si>
  <si>
    <t>UNIT COST PER QUOTE #NF-M09241317</t>
  </si>
  <si>
    <t xml:space="preserve">CLIP COVER, PCB, GLOW WIRE PLASTIC </t>
  </si>
  <si>
    <t>WURTH ELEKTRONIK EISOS GMBH &amp; CO</t>
  </si>
  <si>
    <t>QTY 1-9: $1.03, QTY 10-49: $0.95</t>
  </si>
  <si>
    <t>POWER SUPPLY, AC/DC, 28V, 1200W</t>
  </si>
  <si>
    <t>SHP1000PS28</t>
  </si>
  <si>
    <t>XP POWER LLC</t>
  </si>
  <si>
    <t>$579.06 EACH</t>
  </si>
  <si>
    <t>M. PHIPPS</t>
  </si>
  <si>
    <t>DES03105-01 REVA</t>
  </si>
  <si>
    <t>NEW PART.  ENG. ESTIMATE.</t>
  </si>
  <si>
    <t>CABLE KIT, DIRECTIONAL B RFCU</t>
  </si>
  <si>
    <t>CBL00134-01-W0001 REVA</t>
  </si>
  <si>
    <t>NOTCH FILTER, DIRECTIONAL B RFCU</t>
  </si>
  <si>
    <t>CBL00134-01-W0002 REVA</t>
  </si>
  <si>
    <t>CBL00134-01-W0003 REVA</t>
  </si>
  <si>
    <t>CBL00134-01-W0004 REVA</t>
  </si>
  <si>
    <t>CBL00134-01-W0005 REVA</t>
  </si>
  <si>
    <t>CBL00134-01-W0006 REVA</t>
  </si>
  <si>
    <t>CBL00134-01-W0007 REVA</t>
  </si>
  <si>
    <t>CBL00134-01-W0008 REVA</t>
  </si>
  <si>
    <t>CBL00134-01-W0009 REVA</t>
  </si>
  <si>
    <t>PCB00086-01 REVC</t>
  </si>
  <si>
    <t>22SS-1025-02</t>
  </si>
  <si>
    <t>N/A</t>
  </si>
  <si>
    <t>INITIAL RELEASE</t>
  </si>
  <si>
    <t>NEW PART.  MODIFICATIONS COMPLETED IN-HOUSE</t>
  </si>
  <si>
    <t>PERMALABEL, 2 X 1 X .010 THK, DIE-CUT, WITH ADHESIVE</t>
  </si>
  <si>
    <t>ITM37261</t>
  </si>
  <si>
    <t>INFOSIGHT CORPORATION</t>
  </si>
  <si>
    <t>SAMTEC</t>
  </si>
  <si>
    <t>SNT-100-BK-H</t>
  </si>
  <si>
    <t>SHUNT, 2 POSITION</t>
  </si>
  <si>
    <t>$0.55 EACH</t>
  </si>
  <si>
    <t>SF1112-6144</t>
  </si>
  <si>
    <t>$171.15 EACH</t>
  </si>
  <si>
    <t>ADAPTER, COAX FEMALE TO SMP MALE</t>
  </si>
  <si>
    <t>B. LEE</t>
  </si>
  <si>
    <t>SEE ECN</t>
  </si>
  <si>
    <t>ECN00549</t>
  </si>
  <si>
    <t>DOC00475</t>
  </si>
  <si>
    <t>U. NAEEM</t>
  </si>
  <si>
    <t>INCL. WITH KIT, INFOSIGHT P/N: ITM35143, FOR ITEM 53.</t>
  </si>
  <si>
    <t>ECN00557</t>
  </si>
  <si>
    <t>PCB00085-01 REVD</t>
  </si>
  <si>
    <t>PCB00085-02 REVD</t>
  </si>
  <si>
    <t>ECO-00565</t>
  </si>
  <si>
    <t>SEE ECO</t>
  </si>
  <si>
    <t>J. PLUNKETT</t>
  </si>
  <si>
    <t>ECO-00592</t>
  </si>
  <si>
    <t>DES02106-02 REVE</t>
  </si>
  <si>
    <t>DES02107-01 REVD</t>
  </si>
  <si>
    <t>DES02121-01 REVC</t>
  </si>
  <si>
    <t>DES03038-01 REVB</t>
  </si>
  <si>
    <t>DES03038-02 REVB</t>
  </si>
  <si>
    <t>DES03058-01 REVB</t>
  </si>
  <si>
    <t>DES03067-01 REVB</t>
  </si>
  <si>
    <t>DES03073-01 REVB</t>
  </si>
  <si>
    <t>SCREW, BUTTON HEAD, TORX, TAMPER-RESISTANT, M4X0.7 6G, 10MM LG</t>
  </si>
  <si>
    <t>91900A851</t>
  </si>
  <si>
    <t>$8.39/PK OF 25</t>
  </si>
  <si>
    <t>THUMB SCREW, HIGH-PROFILE, KNURLED-HEAD, 3/8-16 UNC 2A, 3/4LG</t>
  </si>
  <si>
    <t>93585A390</t>
  </si>
  <si>
    <t>$14.57  EACH</t>
  </si>
  <si>
    <t>SCREW, FLAT HEAD, 100°, SEALING, PHILLIPS, 10-32 UNC 2A, 1/2 LG</t>
  </si>
  <si>
    <t>98070A450</t>
  </si>
  <si>
    <t>$8.57/PK OF 10</t>
  </si>
  <si>
    <t>J. HUNNELL</t>
  </si>
  <si>
    <t>PCB00095-01 REVE</t>
  </si>
  <si>
    <t>ECO-00600</t>
  </si>
  <si>
    <t>T.TOHMY</t>
  </si>
  <si>
    <t>RDS-2S1BB-T</t>
  </si>
  <si>
    <t>RELCOMM TECHNOLOGIES</t>
  </si>
  <si>
    <t>RELCOMM QUOTE # RCT-0952-041025</t>
  </si>
  <si>
    <t>RMS-4S6BB-T</t>
  </si>
  <si>
    <t>G</t>
  </si>
  <si>
    <t>ECO-00614</t>
  </si>
  <si>
    <t>CBL00134-01 REVC</t>
  </si>
  <si>
    <t>C. BURNETTE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</si>
</sst>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yyyy\-mm\-dd;@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44" fontId="5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5" fillId="23" borderId="7" applyNumberFormat="0" applyFont="0" applyAlignment="0" applyProtection="0"/>
    <xf numFmtId="0" fontId="24" fillId="23" borderId="7" applyNumberFormat="0" applyFont="0" applyAlignment="0" applyProtection="0"/>
    <xf numFmtId="0" fontId="23" fillId="23" borderId="7" applyNumberFormat="0" applyFont="0" applyAlignment="0" applyProtection="0"/>
    <xf numFmtId="0" fontId="23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4" fillId="0" borderId="0"/>
    <xf numFmtId="0" fontId="5" fillId="0" borderId="0"/>
    <xf numFmtId="0" fontId="26" fillId="25" borderId="0" applyNumberFormat="0" applyBorder="0" applyAlignment="0" applyProtection="0"/>
    <xf numFmtId="0" fontId="3" fillId="0" borderId="0"/>
    <xf numFmtId="0" fontId="2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44" fontId="28" fillId="0" borderId="0" xfId="28" applyFont="1" applyFill="1" applyAlignment="1">
      <alignment horizontal="center" vertical="center"/>
    </xf>
    <xf numFmtId="44" fontId="28" fillId="0" borderId="0" xfId="28" applyFont="1" applyFill="1" applyBorder="1" applyAlignment="1">
      <alignment horizontal="center" vertical="center" wrapText="1"/>
    </xf>
    <xf numFmtId="44" fontId="27" fillId="0" borderId="0" xfId="28" applyFont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30" fillId="0" borderId="0" xfId="0" applyFont="1" applyAlignment="1">
      <alignment horizontal="center"/>
    </xf>
    <xf numFmtId="0" fontId="29" fillId="26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vertical="center"/>
    </xf>
    <xf numFmtId="14" fontId="0" fillId="0" borderId="11" xfId="0" applyNumberFormat="1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0" xfId="0" applyAlignment="1">
      <alignment horizontal="center"/>
    </xf>
    <xf numFmtId="0" fontId="32" fillId="27" borderId="11" xfId="0" applyFont="1" applyFill="1" applyBorder="1" applyAlignment="1">
      <alignment vertical="center" wrapText="1"/>
    </xf>
    <xf numFmtId="0" fontId="33" fillId="0" borderId="11" xfId="0" applyFont="1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33" fillId="0" borderId="11" xfId="0" applyFont="1" applyBorder="1" applyAlignment="1">
      <alignment wrapText="1"/>
    </xf>
    <xf numFmtId="0" fontId="29" fillId="0" borderId="0" xfId="0" applyFont="1" applyFill="1" applyAlignment="1">
      <alignment vertical="center" wrapText="1"/>
    </xf>
    <xf numFmtId="44" fontId="28" fillId="24" borderId="11" xfId="28" applyFont="1" applyFill="1" applyBorder="1" applyAlignment="1">
      <alignment horizontal="center" vertical="center"/>
    </xf>
    <xf numFmtId="44" fontId="28" fillId="24" borderId="11" xfId="28" applyFont="1" applyFill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27" borderId="11" xfId="0" applyFont="1" applyFill="1" applyBorder="1" applyAlignment="1">
      <alignment horizontal="center" vertical="center"/>
    </xf>
    <xf numFmtId="0" fontId="34" fillId="27" borderId="11" xfId="0" applyFont="1" applyFill="1" applyBorder="1" applyAlignment="1">
      <alignment vertical="center"/>
    </xf>
    <xf numFmtId="0" fontId="34" fillId="0" borderId="11" xfId="0" applyFont="1" applyFill="1" applyBorder="1" applyAlignment="1">
      <alignment horizontal="center" vertical="center"/>
    </xf>
    <xf numFmtId="0" fontId="28" fillId="27" borderId="11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0" fontId="29" fillId="0" borderId="0" xfId="0" applyFont="1" applyFill="1" applyBorder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36" fillId="0" borderId="0" xfId="0" applyFont="1" applyFill="1" applyAlignment="1">
      <alignment horizontal="center" vertical="center"/>
    </xf>
    <xf numFmtId="0" fontId="37" fillId="27" borderId="11" xfId="0" applyFont="1" applyFill="1" applyBorder="1" applyAlignment="1">
      <alignment horizontal="left" vertical="center"/>
    </xf>
    <xf numFmtId="0" fontId="35" fillId="0" borderId="0" xfId="0" applyFont="1" applyFill="1" applyBorder="1" applyAlignment="1">
      <alignment vertical="center"/>
    </xf>
    <xf numFmtId="0" fontId="31" fillId="0" borderId="0" xfId="0" applyFont="1" applyFill="1" applyBorder="1" applyAlignment="1">
      <alignment vertical="center" wrapText="1"/>
    </xf>
    <xf numFmtId="0" fontId="29" fillId="0" borderId="11" xfId="0" applyFont="1" applyBorder="1" applyAlignment="1">
      <alignment horizontal="left" vertical="center"/>
    </xf>
    <xf numFmtId="0" fontId="32" fillId="27" borderId="11" xfId="0" applyFont="1" applyFill="1" applyBorder="1" applyAlignment="1">
      <alignment vertical="top" wrapText="1"/>
    </xf>
    <xf numFmtId="0" fontId="34" fillId="27" borderId="11" xfId="0" applyFont="1" applyFill="1" applyBorder="1" applyAlignment="1">
      <alignment horizontal="left" vertical="top" wrapText="1"/>
    </xf>
    <xf numFmtId="0" fontId="34" fillId="0" borderId="11" xfId="0" applyFont="1" applyFill="1" applyBorder="1" applyAlignment="1">
      <alignment horizontal="left" vertical="top" wrapText="1"/>
    </xf>
    <xf numFmtId="0" fontId="34" fillId="0" borderId="11" xfId="0" applyFont="1" applyFill="1" applyBorder="1" applyAlignment="1">
      <alignment vertical="top" wrapText="1"/>
    </xf>
    <xf numFmtId="0" fontId="34" fillId="27" borderId="11" xfId="0" applyNumberFormat="1" applyFont="1" applyFill="1" applyBorder="1" applyAlignment="1">
      <alignment horizontal="left" vertical="top" wrapText="1"/>
    </xf>
    <xf numFmtId="0" fontId="34" fillId="0" borderId="11" xfId="0" applyFont="1" applyBorder="1" applyAlignment="1">
      <alignment horizontal="center" vertical="top" wrapText="1"/>
    </xf>
    <xf numFmtId="0" fontId="28" fillId="27" borderId="11" xfId="0" applyFont="1" applyFill="1" applyBorder="1" applyAlignment="1">
      <alignment horizontal="left" vertical="center"/>
    </xf>
    <xf numFmtId="14" fontId="27" fillId="0" borderId="11" xfId="0" applyNumberFormat="1" applyFont="1" applyBorder="1" applyAlignment="1">
      <alignment horizontal="left" vertical="center"/>
    </xf>
    <xf numFmtId="0" fontId="28" fillId="27" borderId="13" xfId="0" applyFont="1" applyFill="1" applyBorder="1" applyAlignment="1">
      <alignment horizontal="center" vertical="center"/>
    </xf>
    <xf numFmtId="0" fontId="34" fillId="0" borderId="11" xfId="0" quotePrefix="1" applyFont="1" applyFill="1" applyBorder="1" applyAlignment="1">
      <alignment horizontal="center" vertical="center"/>
    </xf>
    <xf numFmtId="44" fontId="34" fillId="0" borderId="11" xfId="28" quotePrefix="1" applyNumberFormat="1" applyFont="1" applyFill="1" applyBorder="1" applyAlignment="1">
      <alignment horizontal="center" vertical="center"/>
    </xf>
    <xf numFmtId="44" fontId="34" fillId="0" borderId="11" xfId="28" applyNumberFormat="1" applyFont="1" applyFill="1" applyBorder="1" applyAlignment="1">
      <alignment horizontal="center" vertical="center"/>
    </xf>
    <xf numFmtId="44" fontId="34" fillId="27" borderId="11" xfId="28" applyNumberFormat="1" applyFont="1" applyFill="1" applyBorder="1" applyAlignment="1">
      <alignment horizontal="left" vertical="center"/>
    </xf>
    <xf numFmtId="44" fontId="34" fillId="27" borderId="11" xfId="28" applyNumberFormat="1" applyFont="1" applyFill="1" applyBorder="1" applyAlignment="1">
      <alignment horizontal="center" vertical="center"/>
    </xf>
    <xf numFmtId="8" fontId="34" fillId="0" borderId="11" xfId="0" applyNumberFormat="1" applyFont="1" applyFill="1" applyBorder="1" applyAlignment="1">
      <alignment vertical="top" wrapText="1"/>
    </xf>
    <xf numFmtId="8" fontId="34" fillId="27" borderId="11" xfId="0" applyNumberFormat="1" applyFont="1" applyFill="1" applyBorder="1" applyAlignment="1">
      <alignment horizontal="left" vertical="top" wrapText="1"/>
    </xf>
    <xf numFmtId="44" fontId="34" fillId="0" borderId="11" xfId="28" quotePrefix="1" applyNumberFormat="1" applyFont="1" applyFill="1" applyBorder="1" applyAlignment="1">
      <alignment horizontal="left" vertical="center"/>
    </xf>
    <xf numFmtId="8" fontId="34" fillId="0" borderId="11" xfId="0" applyNumberFormat="1" applyFont="1" applyFill="1" applyBorder="1" applyAlignment="1">
      <alignment horizontal="left" vertical="top" wrapText="1"/>
    </xf>
    <xf numFmtId="0" fontId="34" fillId="0" borderId="11" xfId="0" applyFont="1" applyBorder="1" applyAlignment="1">
      <alignment horizontal="left" vertical="top" wrapText="1"/>
    </xf>
    <xf numFmtId="0" fontId="34" fillId="0" borderId="11" xfId="0" quotePrefix="1" applyFont="1" applyBorder="1" applyAlignment="1">
      <alignment horizontal="center" vertical="center"/>
    </xf>
    <xf numFmtId="44" fontId="34" fillId="0" borderId="11" xfId="28" quotePrefix="1" applyFont="1" applyFill="1" applyBorder="1" applyAlignment="1">
      <alignment horizontal="center" vertical="center"/>
    </xf>
    <xf numFmtId="44" fontId="34" fillId="0" borderId="11" xfId="28" applyFont="1" applyFill="1" applyBorder="1" applyAlignment="1">
      <alignment horizontal="center" vertical="center"/>
    </xf>
    <xf numFmtId="0" fontId="34" fillId="0" borderId="11" xfId="0" applyFont="1" applyBorder="1" applyAlignment="1">
      <alignment vertical="top" wrapText="1"/>
    </xf>
    <xf numFmtId="44" fontId="34" fillId="27" borderId="11" xfId="28" applyFont="1" applyFill="1" applyBorder="1" applyAlignment="1">
      <alignment horizontal="left" vertical="center"/>
    </xf>
    <xf numFmtId="44" fontId="34" fillId="27" borderId="11" xfId="28" applyFont="1" applyFill="1" applyBorder="1" applyAlignment="1">
      <alignment horizontal="center" vertical="center"/>
    </xf>
    <xf numFmtId="0" fontId="5" fillId="0" borderId="11" xfId="52" applyBorder="1" applyAlignment="1">
      <alignment horizontal="center" vertical="center"/>
    </xf>
    <xf numFmtId="14" fontId="5" fillId="0" borderId="11" xfId="52" applyNumberFormat="1" applyBorder="1" applyAlignment="1">
      <alignment horizontal="center" vertical="center"/>
    </xf>
    <xf numFmtId="0" fontId="5" fillId="0" borderId="11" xfId="52" applyBorder="1" applyAlignment="1">
      <alignment vertical="center" wrapText="1"/>
    </xf>
    <xf numFmtId="0" fontId="5" fillId="0" borderId="11" xfId="52" applyBorder="1" applyAlignment="1">
      <alignment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64" fontId="27" fillId="0" borderId="11" xfId="0" applyNumberFormat="1" applyFont="1" applyBorder="1" applyAlignment="1">
      <alignment horizontal="left" vertical="center"/>
    </xf>
    <xf numFmtId="1" fontId="34" fillId="0" borderId="11" xfId="0" applyNumberFormat="1" applyFont="1" applyFill="1" applyBorder="1" applyAlignment="1">
      <alignment horizontal="left" vertical="top" wrapText="1"/>
    </xf>
    <xf numFmtId="0" fontId="34" fillId="0" borderId="11" xfId="0" applyFont="1" applyFill="1" applyBorder="1" applyAlignment="1">
      <alignment horizontal="left" vertical="top" wrapText="1"/>
    </xf>
    <xf numFmtId="8" fontId="34" fillId="0" borderId="11" xfId="0" applyNumberFormat="1" applyFont="1" applyFill="1" applyBorder="1" applyAlignment="1">
      <alignment vertical="top" wrapText="1"/>
    </xf>
    <xf numFmtId="0" fontId="34" fillId="0" borderId="11" xfId="0" applyFont="1" applyFill="1" applyBorder="1" applyAlignment="1">
      <alignment horizontal="left" vertical="top" wrapText="1"/>
    </xf>
    <xf numFmtId="0" fontId="27" fillId="0" borderId="0" xfId="0" applyFont="1" applyAlignment="1">
      <alignment vertical="center"/>
    </xf>
    <xf numFmtId="0" fontId="34" fillId="0" borderId="11" xfId="0" applyFont="1" applyFill="1" applyBorder="1" applyAlignment="1">
      <alignment horizontal="center" vertical="center"/>
    </xf>
    <xf numFmtId="0" fontId="34" fillId="0" borderId="11" xfId="0" applyFont="1" applyFill="1" applyBorder="1" applyAlignment="1">
      <alignment horizontal="left" vertical="top" wrapText="1"/>
    </xf>
    <xf numFmtId="0" fontId="34" fillId="0" borderId="11" xfId="0" applyFont="1" applyBorder="1" applyAlignment="1">
      <alignment horizontal="center" vertical="top" wrapText="1"/>
    </xf>
    <xf numFmtId="0" fontId="34" fillId="0" borderId="11" xfId="0" quotePrefix="1" applyFont="1" applyFill="1" applyBorder="1" applyAlignment="1">
      <alignment horizontal="center" vertical="center"/>
    </xf>
    <xf numFmtId="44" fontId="34" fillId="0" borderId="11" xfId="28" quotePrefix="1" applyNumberFormat="1" applyFont="1" applyFill="1" applyBorder="1" applyAlignment="1">
      <alignment horizontal="center" vertical="center"/>
    </xf>
    <xf numFmtId="44" fontId="34" fillId="0" borderId="11" xfId="28" applyNumberFormat="1" applyFont="1" applyFill="1" applyBorder="1" applyAlignment="1">
      <alignment horizontal="center" vertical="center"/>
    </xf>
    <xf numFmtId="8" fontId="34" fillId="0" borderId="11" xfId="0" applyNumberFormat="1" applyFont="1" applyFill="1" applyBorder="1" applyAlignment="1">
      <alignment vertical="top" wrapText="1"/>
    </xf>
    <xf numFmtId="0" fontId="34" fillId="0" borderId="11" xfId="0" applyFont="1" applyBorder="1" applyAlignment="1">
      <alignment horizontal="center" vertical="center"/>
    </xf>
    <xf numFmtId="0" fontId="34" fillId="0" borderId="11" xfId="0" applyFont="1" applyFill="1" applyBorder="1" applyAlignment="1">
      <alignment horizontal="center" vertical="center"/>
    </xf>
    <xf numFmtId="0" fontId="34" fillId="0" borderId="11" xfId="0" applyFont="1" applyFill="1" applyBorder="1" applyAlignment="1">
      <alignment horizontal="left" vertical="top" wrapText="1"/>
    </xf>
    <xf numFmtId="0" fontId="34" fillId="0" borderId="11" xfId="0" applyFont="1" applyBorder="1" applyAlignment="1">
      <alignment horizontal="center" vertical="top" wrapText="1"/>
    </xf>
    <xf numFmtId="0" fontId="34" fillId="0" borderId="11" xfId="0" quotePrefix="1" applyFont="1" applyFill="1" applyBorder="1" applyAlignment="1">
      <alignment horizontal="center" vertical="center"/>
    </xf>
    <xf numFmtId="44" fontId="34" fillId="0" borderId="11" xfId="28" quotePrefix="1" applyNumberFormat="1" applyFont="1" applyFill="1" applyBorder="1" applyAlignment="1">
      <alignment horizontal="center" vertical="center"/>
    </xf>
    <xf numFmtId="44" fontId="34" fillId="0" borderId="11" xfId="28" applyNumberFormat="1" applyFont="1" applyFill="1" applyBorder="1" applyAlignment="1">
      <alignment horizontal="center" vertical="center"/>
    </xf>
    <xf numFmtId="8" fontId="34" fillId="0" borderId="11" xfId="0" applyNumberFormat="1" applyFont="1" applyFill="1" applyBorder="1" applyAlignment="1">
      <alignment vertical="top" wrapText="1"/>
    </xf>
    <xf numFmtId="0" fontId="31" fillId="26" borderId="11" xfId="0" applyFont="1" applyFill="1" applyBorder="1" applyAlignment="1">
      <alignment horizontal="center" wrapText="1"/>
    </xf>
    <xf numFmtId="0" fontId="31" fillId="26" borderId="11" xfId="0" applyFont="1" applyFill="1" applyBorder="1" applyAlignment="1">
      <alignment horizontal="center" vertical="center" wrapText="1"/>
    </xf>
    <xf numFmtId="9" fontId="31" fillId="26" borderId="11" xfId="0" applyNumberFormat="1" applyFont="1" applyFill="1" applyBorder="1" applyAlignment="1">
      <alignment horizontal="center" wrapText="1"/>
    </xf>
    <xf numFmtId="44" fontId="31" fillId="26" borderId="11" xfId="28" applyFont="1" applyFill="1" applyBorder="1" applyAlignment="1">
      <alignment horizontal="center" wrapText="1"/>
    </xf>
    <xf numFmtId="0" fontId="31" fillId="26" borderId="11" xfId="0" applyFont="1" applyFill="1" applyBorder="1" applyAlignment="1">
      <alignment horizontal="center"/>
    </xf>
    <xf numFmtId="0" fontId="36" fillId="26" borderId="11" xfId="0" applyFont="1" applyFill="1" applyBorder="1" applyAlignment="1">
      <alignment horizontal="center" wrapText="1"/>
    </xf>
    <xf numFmtId="0" fontId="31" fillId="26" borderId="11" xfId="0" applyFont="1" applyFill="1" applyBorder="1" applyAlignment="1">
      <alignment horizontal="left" wrapText="1"/>
    </xf>
    <xf numFmtId="0" fontId="36" fillId="26" borderId="11" xfId="0" applyFont="1" applyFill="1" applyBorder="1" applyAlignment="1">
      <alignment horizontal="left" wrapText="1"/>
    </xf>
    <xf numFmtId="0" fontId="29" fillId="26" borderId="12" xfId="0" applyFont="1" applyFill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30" fillId="26" borderId="11" xfId="0" applyFont="1" applyFill="1" applyBorder="1" applyAlignment="1">
      <alignment horizontal="center"/>
    </xf>
    <xf numFmtId="0" fontId="29" fillId="26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Currency 2" xfId="29" xr:uid="{00000000-0005-0000-0000-00001C000000}"/>
    <cellStyle name="Currency 2 2" xfId="30" xr:uid="{00000000-0005-0000-0000-00001D000000}"/>
    <cellStyle name="Currency 2 2 2" xfId="65" xr:uid="{A6635B5C-6F7A-4412-982E-D71DB1025915}"/>
    <cellStyle name="Currency 2 2 3" xfId="57" xr:uid="{63CC5856-3AC6-4705-9442-2DEC1689647F}"/>
    <cellStyle name="Currency 2 4" xfId="56" xr:uid="{00000000-0005-0000-0000-00001E000000}"/>
    <cellStyle name="Currency 3" xfId="31" xr:uid="{00000000-0005-0000-0000-00001F000000}"/>
    <cellStyle name="Currency 3 2" xfId="66" xr:uid="{7A807801-4613-42FE-953A-A34CEC40C14D}"/>
    <cellStyle name="Currency 3 3" xfId="58" xr:uid="{97315C24-D26D-488E-A441-4DC1A57AFB5E}"/>
    <cellStyle name="Explanatory Text" xfId="32" builtinId="53" customBuiltin="1"/>
    <cellStyle name="Good" xfId="33" builtinId="26" customBuiltin="1"/>
    <cellStyle name="Good 2" xfId="53" xr:uid="{00000000-0005-0000-0000-000022000000}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Hyperlink 2" xfId="38" xr:uid="{00000000-0005-0000-0000-000027000000}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rmal 2" xfId="42" xr:uid="{00000000-0005-0000-0000-00002C000000}"/>
    <cellStyle name="Normal 2 2" xfId="52" xr:uid="{00000000-0005-0000-0000-00002D000000}"/>
    <cellStyle name="Normal 3" xfId="51" xr:uid="{00000000-0005-0000-0000-00002E000000}"/>
    <cellStyle name="Normal 3 2" xfId="70" xr:uid="{E361CDF0-ED16-4B08-9F1A-C57EC9156784}"/>
    <cellStyle name="Normal 3 3" xfId="62" xr:uid="{6DB014EA-93D7-4366-95AA-3E87C4677D31}"/>
    <cellStyle name="Normal 4" xfId="54" xr:uid="{00000000-0005-0000-0000-00002F000000}"/>
    <cellStyle name="Normal 4 2" xfId="71" xr:uid="{87E6D49F-B5EE-460E-A86C-A216F16D06C8}"/>
    <cellStyle name="Normal 4 3" xfId="63" xr:uid="{B5EDE0FB-4920-43BE-9FCE-87E1C99A14D2}"/>
    <cellStyle name="Normal 5" xfId="55" xr:uid="{00000000-0005-0000-0000-000030000000}"/>
    <cellStyle name="Normal 5 2" xfId="72" xr:uid="{DBB04C7B-8C24-49ED-857A-6E9D33658B55}"/>
    <cellStyle name="Normal 5 3" xfId="64" xr:uid="{B439D12D-D16C-4512-804C-21CBF7E96282}"/>
    <cellStyle name="Note" xfId="43" builtinId="10" customBuiltin="1"/>
    <cellStyle name="Note 2" xfId="44" xr:uid="{00000000-0005-0000-0000-000032000000}"/>
    <cellStyle name="Note 2 2" xfId="45" xr:uid="{00000000-0005-0000-0000-000033000000}"/>
    <cellStyle name="Note 2 2 2" xfId="68" xr:uid="{8EDD1A2E-F51A-4FA1-B5BE-DE4DB721368F}"/>
    <cellStyle name="Note 2 2 3" xfId="60" xr:uid="{B2DC0F7E-7E30-4139-A733-D0383D6A0514}"/>
    <cellStyle name="Note 2 3" xfId="67" xr:uid="{775DA44C-5957-49D7-B32D-4621E9CE9F3E}"/>
    <cellStyle name="Note 2 4" xfId="59" xr:uid="{701CC860-7F37-4245-8FF8-B5D74229AC86}"/>
    <cellStyle name="Note 3" xfId="46" xr:uid="{00000000-0005-0000-0000-000034000000}"/>
    <cellStyle name="Note 3 2" xfId="69" xr:uid="{973A946B-547F-40D6-99AC-AE7F52BD7000}"/>
    <cellStyle name="Note 3 3" xfId="61" xr:uid="{E6CFCF66-67CF-4E89-8BB6-63C3CF379DAF}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77"/>
  <sheetViews>
    <sheetView tabSelected="1" zoomScaleNormal="100" workbookViewId="0">
      <pane ySplit="3" topLeftCell="A157" activePane="bottomLeft" state="frozen"/>
      <selection pane="bottomLeft" activeCell="G170" sqref="G170"/>
    </sheetView>
  </sheetViews>
  <sheetFormatPr defaultColWidth="9.26953125" defaultRowHeight="14.5" x14ac:dyDescent="0.25"/>
  <cols>
    <col min="1" max="1" width="5.26953125" style="1" bestFit="1" customWidth="1"/>
    <col min="2" max="2" width="14.453125" style="1" bestFit="1" customWidth="1"/>
    <col min="3" max="3" width="69.26953125" style="1" customWidth="1"/>
    <col min="4" max="4" width="29.7265625" style="1" customWidth="1"/>
    <col min="5" max="5" width="34.7265625" style="2" bestFit="1" customWidth="1"/>
    <col min="6" max="6" width="7.26953125" style="2" bestFit="1" customWidth="1"/>
    <col min="7" max="7" width="15.26953125" style="5" bestFit="1" customWidth="1"/>
    <col min="8" max="8" width="15.7265625" style="2" bestFit="1" customWidth="1"/>
    <col min="9" max="9" width="58.54296875" style="2" customWidth="1"/>
    <col min="10" max="10" width="14.7265625" style="1" bestFit="1" customWidth="1"/>
    <col min="11" max="16384" width="9.26953125" style="1"/>
  </cols>
  <sheetData>
    <row r="1" spans="1:11" s="30" customFormat="1" ht="19.149999999999999" customHeight="1" x14ac:dyDescent="0.25">
      <c r="A1" s="89" t="s">
        <v>29</v>
      </c>
      <c r="B1" s="89"/>
      <c r="C1" s="89"/>
      <c r="D1" s="89"/>
      <c r="E1" s="89"/>
      <c r="F1" s="89"/>
      <c r="G1" s="89"/>
      <c r="H1" s="89"/>
      <c r="I1" s="89"/>
      <c r="J1" s="89"/>
      <c r="K1" s="34"/>
    </row>
    <row r="2" spans="1:11" s="31" customFormat="1" ht="15.5" x14ac:dyDescent="0.25">
      <c r="A2" s="88" t="s">
        <v>3</v>
      </c>
      <c r="B2" s="88" t="s">
        <v>27</v>
      </c>
      <c r="C2" s="94" t="s">
        <v>4</v>
      </c>
      <c r="D2" s="94" t="s">
        <v>5</v>
      </c>
      <c r="E2" s="94" t="s">
        <v>6</v>
      </c>
      <c r="F2" s="88" t="s">
        <v>7</v>
      </c>
      <c r="G2" s="91" t="s">
        <v>1</v>
      </c>
      <c r="H2" s="88" t="s">
        <v>28</v>
      </c>
      <c r="I2" s="90" t="s">
        <v>26</v>
      </c>
      <c r="J2" s="88" t="s">
        <v>25</v>
      </c>
    </row>
    <row r="3" spans="1:11" s="31" customFormat="1" ht="15.5" x14ac:dyDescent="0.25">
      <c r="A3" s="93"/>
      <c r="B3" s="88"/>
      <c r="C3" s="95"/>
      <c r="D3" s="95"/>
      <c r="E3" s="95"/>
      <c r="F3" s="88"/>
      <c r="G3" s="91"/>
      <c r="H3" s="88"/>
      <c r="I3" s="90"/>
      <c r="J3" s="92"/>
    </row>
    <row r="4" spans="1:11" x14ac:dyDescent="0.25">
      <c r="A4" s="23">
        <f t="shared" ref="A4:A13" si="0">ROW()-3</f>
        <v>1</v>
      </c>
      <c r="B4" s="26"/>
      <c r="C4" s="54" t="s">
        <v>404</v>
      </c>
      <c r="D4" s="54" t="s">
        <v>470</v>
      </c>
      <c r="E4" s="54" t="s">
        <v>32</v>
      </c>
      <c r="F4" s="55">
        <v>1</v>
      </c>
      <c r="G4" s="56">
        <v>6000</v>
      </c>
      <c r="H4" s="57">
        <f t="shared" ref="H4:H13" si="1">F4*G4</f>
        <v>6000</v>
      </c>
      <c r="I4" s="58" t="s">
        <v>403</v>
      </c>
      <c r="J4" s="41"/>
    </row>
    <row r="5" spans="1:11" ht="14.65" customHeight="1" x14ac:dyDescent="0.25">
      <c r="A5" s="23">
        <f t="shared" si="0"/>
        <v>2</v>
      </c>
      <c r="B5" s="26"/>
      <c r="C5" s="54" t="s">
        <v>406</v>
      </c>
      <c r="D5" s="54" t="s">
        <v>405</v>
      </c>
      <c r="E5" s="54" t="s">
        <v>32</v>
      </c>
      <c r="F5" s="55">
        <v>1</v>
      </c>
      <c r="G5" s="56">
        <v>37.25</v>
      </c>
      <c r="H5" s="57">
        <f t="shared" si="1"/>
        <v>37.25</v>
      </c>
      <c r="I5" s="39" t="s">
        <v>33</v>
      </c>
      <c r="J5" s="41"/>
    </row>
    <row r="6" spans="1:11" ht="14.65" customHeight="1" x14ac:dyDescent="0.25">
      <c r="A6" s="23">
        <f t="shared" si="0"/>
        <v>3</v>
      </c>
      <c r="B6" s="26"/>
      <c r="C6" s="54" t="s">
        <v>406</v>
      </c>
      <c r="D6" s="54" t="s">
        <v>407</v>
      </c>
      <c r="E6" s="54" t="s">
        <v>32</v>
      </c>
      <c r="F6" s="55">
        <v>1</v>
      </c>
      <c r="G6" s="56">
        <v>37.25</v>
      </c>
      <c r="H6" s="57">
        <f t="shared" si="1"/>
        <v>37.25</v>
      </c>
      <c r="I6" s="39" t="s">
        <v>33</v>
      </c>
      <c r="J6" s="41"/>
    </row>
    <row r="7" spans="1:11" ht="14.65" customHeight="1" x14ac:dyDescent="0.25">
      <c r="A7" s="23">
        <f t="shared" si="0"/>
        <v>4</v>
      </c>
      <c r="B7" s="26"/>
      <c r="C7" s="54" t="s">
        <v>406</v>
      </c>
      <c r="D7" s="54" t="s">
        <v>408</v>
      </c>
      <c r="E7" s="54" t="s">
        <v>32</v>
      </c>
      <c r="F7" s="55">
        <v>1</v>
      </c>
      <c r="G7" s="56">
        <v>37.25</v>
      </c>
      <c r="H7" s="57">
        <f t="shared" si="1"/>
        <v>37.25</v>
      </c>
      <c r="I7" s="39" t="s">
        <v>33</v>
      </c>
      <c r="J7" s="41"/>
    </row>
    <row r="8" spans="1:11" ht="14.65" customHeight="1" x14ac:dyDescent="0.25">
      <c r="A8" s="23">
        <f t="shared" si="0"/>
        <v>5</v>
      </c>
      <c r="B8" s="26"/>
      <c r="C8" s="54" t="s">
        <v>406</v>
      </c>
      <c r="D8" s="54" t="s">
        <v>409</v>
      </c>
      <c r="E8" s="54" t="s">
        <v>32</v>
      </c>
      <c r="F8" s="55">
        <v>1</v>
      </c>
      <c r="G8" s="56">
        <v>37.25</v>
      </c>
      <c r="H8" s="57">
        <f t="shared" si="1"/>
        <v>37.25</v>
      </c>
      <c r="I8" s="39" t="s">
        <v>33</v>
      </c>
      <c r="J8" s="41"/>
    </row>
    <row r="9" spans="1:11" ht="14.65" customHeight="1" x14ac:dyDescent="0.25">
      <c r="A9" s="23">
        <f t="shared" si="0"/>
        <v>6</v>
      </c>
      <c r="B9" s="26"/>
      <c r="C9" s="54" t="s">
        <v>406</v>
      </c>
      <c r="D9" s="54" t="s">
        <v>410</v>
      </c>
      <c r="E9" s="54" t="s">
        <v>32</v>
      </c>
      <c r="F9" s="55">
        <v>1</v>
      </c>
      <c r="G9" s="56">
        <v>37.25</v>
      </c>
      <c r="H9" s="57">
        <f t="shared" si="1"/>
        <v>37.25</v>
      </c>
      <c r="I9" s="39" t="s">
        <v>33</v>
      </c>
      <c r="J9" s="41"/>
    </row>
    <row r="10" spans="1:11" ht="14.65" customHeight="1" x14ac:dyDescent="0.25">
      <c r="A10" s="23">
        <f t="shared" si="0"/>
        <v>7</v>
      </c>
      <c r="B10" s="26"/>
      <c r="C10" s="54" t="s">
        <v>406</v>
      </c>
      <c r="D10" s="54" t="s">
        <v>411</v>
      </c>
      <c r="E10" s="54" t="s">
        <v>32</v>
      </c>
      <c r="F10" s="55">
        <v>1</v>
      </c>
      <c r="G10" s="56">
        <v>37.25</v>
      </c>
      <c r="H10" s="57">
        <f t="shared" si="1"/>
        <v>37.25</v>
      </c>
      <c r="I10" s="39" t="s">
        <v>33</v>
      </c>
      <c r="J10" s="41"/>
    </row>
    <row r="11" spans="1:11" ht="14.65" customHeight="1" x14ac:dyDescent="0.25">
      <c r="A11" s="23">
        <f t="shared" si="0"/>
        <v>8</v>
      </c>
      <c r="B11" s="26"/>
      <c r="C11" s="54" t="s">
        <v>406</v>
      </c>
      <c r="D11" s="54" t="s">
        <v>412</v>
      </c>
      <c r="E11" s="54" t="s">
        <v>32</v>
      </c>
      <c r="F11" s="55">
        <v>1</v>
      </c>
      <c r="G11" s="56">
        <v>37.25</v>
      </c>
      <c r="H11" s="57">
        <f t="shared" si="1"/>
        <v>37.25</v>
      </c>
      <c r="I11" s="39" t="s">
        <v>33</v>
      </c>
      <c r="J11" s="41"/>
    </row>
    <row r="12" spans="1:11" ht="14.65" customHeight="1" x14ac:dyDescent="0.25">
      <c r="A12" s="23">
        <f t="shared" si="0"/>
        <v>9</v>
      </c>
      <c r="B12" s="26"/>
      <c r="C12" s="54" t="s">
        <v>406</v>
      </c>
      <c r="D12" s="54" t="s">
        <v>413</v>
      </c>
      <c r="E12" s="54" t="s">
        <v>32</v>
      </c>
      <c r="F12" s="55">
        <v>1</v>
      </c>
      <c r="G12" s="56">
        <v>37.25</v>
      </c>
      <c r="H12" s="57">
        <f t="shared" si="1"/>
        <v>37.25</v>
      </c>
      <c r="I12" s="39" t="s">
        <v>33</v>
      </c>
      <c r="J12" s="41"/>
    </row>
    <row r="13" spans="1:11" ht="14.65" customHeight="1" x14ac:dyDescent="0.25">
      <c r="A13" s="23">
        <f t="shared" si="0"/>
        <v>10</v>
      </c>
      <c r="B13" s="26"/>
      <c r="C13" s="54" t="s">
        <v>406</v>
      </c>
      <c r="D13" s="54" t="s">
        <v>414</v>
      </c>
      <c r="E13" s="54" t="s">
        <v>32</v>
      </c>
      <c r="F13" s="55">
        <v>1</v>
      </c>
      <c r="G13" s="56">
        <v>52.75</v>
      </c>
      <c r="H13" s="57">
        <f t="shared" si="1"/>
        <v>52.75</v>
      </c>
      <c r="I13" s="39" t="s">
        <v>33</v>
      </c>
      <c r="J13" s="41"/>
    </row>
    <row r="14" spans="1:11" ht="14.65" customHeight="1" x14ac:dyDescent="0.25">
      <c r="A14" s="23">
        <f t="shared" ref="A14:A45" si="2">ROW()-3</f>
        <v>11</v>
      </c>
      <c r="B14" s="26"/>
      <c r="C14" s="38" t="s">
        <v>30</v>
      </c>
      <c r="D14" s="38" t="s">
        <v>31</v>
      </c>
      <c r="E14" s="38" t="s">
        <v>32</v>
      </c>
      <c r="F14" s="45">
        <v>2</v>
      </c>
      <c r="G14" s="46">
        <v>46.15</v>
      </c>
      <c r="H14" s="47">
        <f>F14*G14</f>
        <v>92.3</v>
      </c>
      <c r="I14" s="39" t="s">
        <v>33</v>
      </c>
      <c r="J14" s="41"/>
    </row>
    <row r="15" spans="1:11" ht="14.65" customHeight="1" x14ac:dyDescent="0.25">
      <c r="A15" s="23">
        <f t="shared" si="2"/>
        <v>12</v>
      </c>
      <c r="B15" s="26"/>
      <c r="C15" s="38" t="s">
        <v>34</v>
      </c>
      <c r="D15" s="38" t="s">
        <v>443</v>
      </c>
      <c r="E15" s="38" t="s">
        <v>32</v>
      </c>
      <c r="F15" s="45">
        <v>1</v>
      </c>
      <c r="G15" s="46">
        <v>800</v>
      </c>
      <c r="H15" s="47">
        <f t="shared" ref="H15:H45" si="3">F15*G15</f>
        <v>800</v>
      </c>
      <c r="I15" s="39" t="s">
        <v>35</v>
      </c>
      <c r="J15" s="41"/>
    </row>
    <row r="16" spans="1:11" ht="14.65" customHeight="1" x14ac:dyDescent="0.25">
      <c r="A16" s="23">
        <f t="shared" si="2"/>
        <v>13</v>
      </c>
      <c r="B16" s="26"/>
      <c r="C16" s="38" t="s">
        <v>36</v>
      </c>
      <c r="D16" s="38" t="s">
        <v>444</v>
      </c>
      <c r="E16" s="38" t="s">
        <v>32</v>
      </c>
      <c r="F16" s="45">
        <v>1</v>
      </c>
      <c r="G16" s="46">
        <v>137.26</v>
      </c>
      <c r="H16" s="47">
        <f t="shared" si="3"/>
        <v>137.26</v>
      </c>
      <c r="I16" s="39" t="s">
        <v>33</v>
      </c>
      <c r="J16" s="41"/>
    </row>
    <row r="17" spans="1:10" ht="14.65" customHeight="1" x14ac:dyDescent="0.25">
      <c r="A17" s="23">
        <f t="shared" si="2"/>
        <v>14</v>
      </c>
      <c r="B17" s="26"/>
      <c r="C17" s="38" t="s">
        <v>37</v>
      </c>
      <c r="D17" s="38" t="s">
        <v>38</v>
      </c>
      <c r="E17" s="38" t="s">
        <v>32</v>
      </c>
      <c r="F17" s="45">
        <v>1</v>
      </c>
      <c r="G17" s="46">
        <v>70</v>
      </c>
      <c r="H17" s="47">
        <f t="shared" si="3"/>
        <v>70</v>
      </c>
      <c r="I17" s="39" t="s">
        <v>33</v>
      </c>
      <c r="J17" s="41"/>
    </row>
    <row r="18" spans="1:10" ht="14.65" customHeight="1" x14ac:dyDescent="0.25">
      <c r="A18" s="23">
        <f t="shared" si="2"/>
        <v>15</v>
      </c>
      <c r="B18" s="26"/>
      <c r="C18" s="38" t="s">
        <v>39</v>
      </c>
      <c r="D18" s="38" t="s">
        <v>40</v>
      </c>
      <c r="E18" s="38" t="s">
        <v>32</v>
      </c>
      <c r="F18" s="45">
        <v>1</v>
      </c>
      <c r="G18" s="46">
        <v>30</v>
      </c>
      <c r="H18" s="47">
        <f t="shared" si="3"/>
        <v>30</v>
      </c>
      <c r="I18" s="39" t="s">
        <v>33</v>
      </c>
      <c r="J18" s="41"/>
    </row>
    <row r="19" spans="1:10" ht="14.65" customHeight="1" x14ac:dyDescent="0.25">
      <c r="A19" s="23">
        <f t="shared" si="2"/>
        <v>16</v>
      </c>
      <c r="B19" s="26"/>
      <c r="C19" s="38" t="s">
        <v>41</v>
      </c>
      <c r="D19" s="38" t="s">
        <v>445</v>
      </c>
      <c r="E19" s="38" t="s">
        <v>32</v>
      </c>
      <c r="F19" s="45">
        <v>1</v>
      </c>
      <c r="G19" s="46">
        <v>248.22</v>
      </c>
      <c r="H19" s="47">
        <f t="shared" si="3"/>
        <v>248.22</v>
      </c>
      <c r="I19" s="39" t="s">
        <v>33</v>
      </c>
      <c r="J19" s="41"/>
    </row>
    <row r="20" spans="1:10" ht="14.65" customHeight="1" x14ac:dyDescent="0.25">
      <c r="A20" s="23">
        <f t="shared" si="2"/>
        <v>17</v>
      </c>
      <c r="B20" s="26"/>
      <c r="C20" s="38" t="s">
        <v>42</v>
      </c>
      <c r="D20" s="38" t="s">
        <v>43</v>
      </c>
      <c r="E20" s="38" t="s">
        <v>32</v>
      </c>
      <c r="F20" s="45">
        <v>1</v>
      </c>
      <c r="G20" s="46">
        <v>287.25</v>
      </c>
      <c r="H20" s="47">
        <f t="shared" si="3"/>
        <v>287.25</v>
      </c>
      <c r="I20" s="39" t="s">
        <v>33</v>
      </c>
      <c r="J20" s="41"/>
    </row>
    <row r="21" spans="1:10" ht="14.65" customHeight="1" x14ac:dyDescent="0.25">
      <c r="A21" s="23">
        <f t="shared" si="2"/>
        <v>18</v>
      </c>
      <c r="B21" s="26"/>
      <c r="C21" s="38" t="s">
        <v>44</v>
      </c>
      <c r="D21" s="38" t="s">
        <v>45</v>
      </c>
      <c r="E21" s="38" t="s">
        <v>32</v>
      </c>
      <c r="F21" s="45">
        <v>1</v>
      </c>
      <c r="G21" s="46">
        <v>50</v>
      </c>
      <c r="H21" s="47">
        <f t="shared" si="3"/>
        <v>50</v>
      </c>
      <c r="I21" s="39" t="s">
        <v>33</v>
      </c>
      <c r="J21" s="41"/>
    </row>
    <row r="22" spans="1:10" ht="14.65" customHeight="1" x14ac:dyDescent="0.25">
      <c r="A22" s="23">
        <f t="shared" si="2"/>
        <v>19</v>
      </c>
      <c r="B22" s="26"/>
      <c r="C22" s="38" t="s">
        <v>44</v>
      </c>
      <c r="D22" s="38" t="s">
        <v>46</v>
      </c>
      <c r="E22" s="38" t="s">
        <v>32</v>
      </c>
      <c r="F22" s="45">
        <v>1</v>
      </c>
      <c r="G22" s="46">
        <v>50</v>
      </c>
      <c r="H22" s="47">
        <f t="shared" si="3"/>
        <v>50</v>
      </c>
      <c r="I22" s="39" t="s">
        <v>33</v>
      </c>
      <c r="J22" s="41"/>
    </row>
    <row r="23" spans="1:10" ht="14.65" customHeight="1" x14ac:dyDescent="0.25">
      <c r="A23" s="23">
        <f t="shared" si="2"/>
        <v>20</v>
      </c>
      <c r="B23" s="26"/>
      <c r="C23" s="38" t="s">
        <v>47</v>
      </c>
      <c r="D23" s="38" t="s">
        <v>48</v>
      </c>
      <c r="E23" s="38" t="s">
        <v>32</v>
      </c>
      <c r="F23" s="45">
        <v>1</v>
      </c>
      <c r="G23" s="46">
        <v>12.5</v>
      </c>
      <c r="H23" s="47">
        <f t="shared" si="3"/>
        <v>12.5</v>
      </c>
      <c r="I23" s="39" t="s">
        <v>33</v>
      </c>
      <c r="J23" s="41"/>
    </row>
    <row r="24" spans="1:10" ht="14.65" customHeight="1" x14ac:dyDescent="0.25">
      <c r="A24" s="23">
        <f t="shared" si="2"/>
        <v>21</v>
      </c>
      <c r="B24" s="26"/>
      <c r="C24" s="38" t="s">
        <v>49</v>
      </c>
      <c r="D24" s="38" t="s">
        <v>50</v>
      </c>
      <c r="E24" s="38" t="s">
        <v>32</v>
      </c>
      <c r="F24" s="45">
        <v>1</v>
      </c>
      <c r="G24" s="46">
        <v>25.1</v>
      </c>
      <c r="H24" s="47">
        <f t="shared" si="3"/>
        <v>25.1</v>
      </c>
      <c r="I24" s="39" t="s">
        <v>33</v>
      </c>
      <c r="J24" s="41"/>
    </row>
    <row r="25" spans="1:10" ht="14.65" customHeight="1" x14ac:dyDescent="0.25">
      <c r="A25" s="23">
        <f t="shared" si="2"/>
        <v>22</v>
      </c>
      <c r="B25" s="26"/>
      <c r="C25" s="38" t="s">
        <v>49</v>
      </c>
      <c r="D25" s="38" t="s">
        <v>51</v>
      </c>
      <c r="E25" s="38" t="s">
        <v>32</v>
      </c>
      <c r="F25" s="45">
        <v>1</v>
      </c>
      <c r="G25" s="46">
        <v>25.1</v>
      </c>
      <c r="H25" s="47">
        <f t="shared" si="3"/>
        <v>25.1</v>
      </c>
      <c r="I25" s="39" t="s">
        <v>33</v>
      </c>
      <c r="J25" s="41"/>
    </row>
    <row r="26" spans="1:10" ht="14.65" customHeight="1" x14ac:dyDescent="0.25">
      <c r="A26" s="23">
        <f t="shared" si="2"/>
        <v>23</v>
      </c>
      <c r="B26" s="26"/>
      <c r="C26" s="38" t="s">
        <v>49</v>
      </c>
      <c r="D26" s="38" t="s">
        <v>52</v>
      </c>
      <c r="E26" s="38" t="s">
        <v>32</v>
      </c>
      <c r="F26" s="45">
        <v>1</v>
      </c>
      <c r="G26" s="46">
        <v>25.4</v>
      </c>
      <c r="H26" s="47">
        <f t="shared" si="3"/>
        <v>25.4</v>
      </c>
      <c r="I26" s="39" t="s">
        <v>33</v>
      </c>
      <c r="J26" s="41"/>
    </row>
    <row r="27" spans="1:10" ht="14.65" customHeight="1" x14ac:dyDescent="0.25">
      <c r="A27" s="23">
        <f t="shared" si="2"/>
        <v>24</v>
      </c>
      <c r="B27" s="26"/>
      <c r="C27" s="38" t="s">
        <v>49</v>
      </c>
      <c r="D27" s="38" t="s">
        <v>53</v>
      </c>
      <c r="E27" s="38" t="s">
        <v>32</v>
      </c>
      <c r="F27" s="45">
        <v>1</v>
      </c>
      <c r="G27" s="46">
        <v>22.75</v>
      </c>
      <c r="H27" s="47">
        <f t="shared" si="3"/>
        <v>22.75</v>
      </c>
      <c r="I27" s="39" t="s">
        <v>33</v>
      </c>
      <c r="J27" s="41"/>
    </row>
    <row r="28" spans="1:10" ht="14.65" customHeight="1" x14ac:dyDescent="0.25">
      <c r="A28" s="23">
        <f t="shared" si="2"/>
        <v>25</v>
      </c>
      <c r="B28" s="26"/>
      <c r="C28" s="38" t="s">
        <v>47</v>
      </c>
      <c r="D28" s="38" t="s">
        <v>54</v>
      </c>
      <c r="E28" s="38" t="s">
        <v>32</v>
      </c>
      <c r="F28" s="45">
        <v>1</v>
      </c>
      <c r="G28" s="46">
        <v>12.5</v>
      </c>
      <c r="H28" s="47">
        <f t="shared" si="3"/>
        <v>12.5</v>
      </c>
      <c r="I28" s="39" t="s">
        <v>33</v>
      </c>
      <c r="J28" s="41"/>
    </row>
    <row r="29" spans="1:10" ht="14.65" customHeight="1" x14ac:dyDescent="0.25">
      <c r="A29" s="23">
        <f t="shared" si="2"/>
        <v>26</v>
      </c>
      <c r="B29" s="26"/>
      <c r="C29" s="38" t="s">
        <v>55</v>
      </c>
      <c r="D29" s="38" t="s">
        <v>56</v>
      </c>
      <c r="E29" s="38" t="s">
        <v>32</v>
      </c>
      <c r="F29" s="45">
        <v>1</v>
      </c>
      <c r="G29" s="46">
        <v>115.27</v>
      </c>
      <c r="H29" s="47">
        <f t="shared" si="3"/>
        <v>115.27</v>
      </c>
      <c r="I29" s="39" t="s">
        <v>33</v>
      </c>
      <c r="J29" s="41"/>
    </row>
    <row r="30" spans="1:10" ht="14.65" customHeight="1" x14ac:dyDescent="0.25">
      <c r="A30" s="23">
        <f t="shared" si="2"/>
        <v>27</v>
      </c>
      <c r="B30" s="26"/>
      <c r="C30" s="38" t="s">
        <v>57</v>
      </c>
      <c r="D30" s="38" t="s">
        <v>58</v>
      </c>
      <c r="E30" s="38" t="s">
        <v>32</v>
      </c>
      <c r="F30" s="45">
        <v>1</v>
      </c>
      <c r="G30" s="46">
        <v>159.94999999999999</v>
      </c>
      <c r="H30" s="47">
        <f t="shared" si="3"/>
        <v>159.94999999999999</v>
      </c>
      <c r="I30" s="39" t="s">
        <v>33</v>
      </c>
      <c r="J30" s="41"/>
    </row>
    <row r="31" spans="1:10" ht="14.65" customHeight="1" x14ac:dyDescent="0.25">
      <c r="A31" s="23">
        <f t="shared" si="2"/>
        <v>28</v>
      </c>
      <c r="B31" s="26"/>
      <c r="C31" s="38" t="s">
        <v>59</v>
      </c>
      <c r="D31" s="38" t="s">
        <v>446</v>
      </c>
      <c r="E31" s="38" t="s">
        <v>32</v>
      </c>
      <c r="F31" s="45">
        <v>4</v>
      </c>
      <c r="G31" s="46">
        <v>191.56</v>
      </c>
      <c r="H31" s="47">
        <f t="shared" si="3"/>
        <v>766.24</v>
      </c>
      <c r="I31" s="39" t="s">
        <v>33</v>
      </c>
      <c r="J31" s="41"/>
    </row>
    <row r="32" spans="1:10" ht="14.65" customHeight="1" x14ac:dyDescent="0.25">
      <c r="A32" s="23">
        <f t="shared" si="2"/>
        <v>29</v>
      </c>
      <c r="B32" s="26"/>
      <c r="C32" s="38" t="s">
        <v>59</v>
      </c>
      <c r="D32" s="38" t="s">
        <v>447</v>
      </c>
      <c r="E32" s="38" t="s">
        <v>32</v>
      </c>
      <c r="F32" s="45">
        <v>1</v>
      </c>
      <c r="G32" s="46">
        <v>186.42</v>
      </c>
      <c r="H32" s="47">
        <f t="shared" si="3"/>
        <v>186.42</v>
      </c>
      <c r="I32" s="39" t="s">
        <v>33</v>
      </c>
      <c r="J32" s="41"/>
    </row>
    <row r="33" spans="1:10" ht="14.65" customHeight="1" x14ac:dyDescent="0.25">
      <c r="A33" s="23">
        <f t="shared" si="2"/>
        <v>30</v>
      </c>
      <c r="B33" s="26"/>
      <c r="C33" s="38" t="s">
        <v>60</v>
      </c>
      <c r="D33" s="38" t="s">
        <v>61</v>
      </c>
      <c r="E33" s="38" t="s">
        <v>32</v>
      </c>
      <c r="F33" s="45">
        <v>1</v>
      </c>
      <c r="G33" s="46">
        <v>104.21</v>
      </c>
      <c r="H33" s="47">
        <f t="shared" si="3"/>
        <v>104.21</v>
      </c>
      <c r="I33" s="39" t="s">
        <v>33</v>
      </c>
      <c r="J33" s="41"/>
    </row>
    <row r="34" spans="1:10" ht="14.65" customHeight="1" x14ac:dyDescent="0.25">
      <c r="A34" s="23">
        <f t="shared" si="2"/>
        <v>31</v>
      </c>
      <c r="B34" s="26"/>
      <c r="C34" s="38" t="s">
        <v>62</v>
      </c>
      <c r="D34" s="38" t="s">
        <v>448</v>
      </c>
      <c r="E34" s="38" t="s">
        <v>32</v>
      </c>
      <c r="F34" s="45">
        <v>1</v>
      </c>
      <c r="G34" s="46">
        <v>84.92</v>
      </c>
      <c r="H34" s="47">
        <f t="shared" si="3"/>
        <v>84.92</v>
      </c>
      <c r="I34" s="39" t="s">
        <v>33</v>
      </c>
      <c r="J34" s="41"/>
    </row>
    <row r="35" spans="1:10" ht="14.65" customHeight="1" x14ac:dyDescent="0.25">
      <c r="A35" s="23">
        <f t="shared" si="2"/>
        <v>32</v>
      </c>
      <c r="B35" s="26"/>
      <c r="C35" s="38" t="s">
        <v>63</v>
      </c>
      <c r="D35" s="38" t="s">
        <v>64</v>
      </c>
      <c r="E35" s="38" t="s">
        <v>32</v>
      </c>
      <c r="F35" s="45">
        <v>1</v>
      </c>
      <c r="G35" s="46">
        <v>63.09</v>
      </c>
      <c r="H35" s="47">
        <f t="shared" si="3"/>
        <v>63.09</v>
      </c>
      <c r="I35" s="39" t="s">
        <v>33</v>
      </c>
      <c r="J35" s="41"/>
    </row>
    <row r="36" spans="1:10" ht="14.65" customHeight="1" x14ac:dyDescent="0.25">
      <c r="A36" s="23">
        <f t="shared" si="2"/>
        <v>33</v>
      </c>
      <c r="B36" s="26"/>
      <c r="C36" s="38" t="s">
        <v>65</v>
      </c>
      <c r="D36" s="38" t="s">
        <v>66</v>
      </c>
      <c r="E36" s="38" t="s">
        <v>32</v>
      </c>
      <c r="F36" s="45">
        <v>5</v>
      </c>
      <c r="G36" s="46">
        <v>31.4</v>
      </c>
      <c r="H36" s="47">
        <f t="shared" si="3"/>
        <v>157</v>
      </c>
      <c r="I36" s="39" t="s">
        <v>33</v>
      </c>
      <c r="J36" s="41"/>
    </row>
    <row r="37" spans="1:10" ht="14.65" customHeight="1" x14ac:dyDescent="0.25">
      <c r="A37" s="23">
        <f t="shared" si="2"/>
        <v>34</v>
      </c>
      <c r="B37" s="26"/>
      <c r="C37" s="38" t="s">
        <v>67</v>
      </c>
      <c r="D37" s="38" t="s">
        <v>68</v>
      </c>
      <c r="E37" s="38" t="s">
        <v>32</v>
      </c>
      <c r="F37" s="45">
        <v>5</v>
      </c>
      <c r="G37" s="46">
        <v>28.95</v>
      </c>
      <c r="H37" s="47">
        <f t="shared" si="3"/>
        <v>144.75</v>
      </c>
      <c r="I37" s="39" t="s">
        <v>33</v>
      </c>
      <c r="J37" s="41"/>
    </row>
    <row r="38" spans="1:10" ht="14.65" customHeight="1" x14ac:dyDescent="0.25">
      <c r="A38" s="23">
        <f t="shared" si="2"/>
        <v>35</v>
      </c>
      <c r="B38" s="26"/>
      <c r="C38" s="38" t="s">
        <v>69</v>
      </c>
      <c r="D38" s="38" t="s">
        <v>70</v>
      </c>
      <c r="E38" s="38" t="s">
        <v>32</v>
      </c>
      <c r="F38" s="45">
        <v>2</v>
      </c>
      <c r="G38" s="46">
        <v>92.72</v>
      </c>
      <c r="H38" s="47">
        <f t="shared" si="3"/>
        <v>185.44</v>
      </c>
      <c r="I38" s="39" t="s">
        <v>33</v>
      </c>
      <c r="J38" s="41"/>
    </row>
    <row r="39" spans="1:10" ht="14.65" customHeight="1" x14ac:dyDescent="0.25">
      <c r="A39" s="23">
        <f t="shared" si="2"/>
        <v>36</v>
      </c>
      <c r="B39" s="26"/>
      <c r="C39" s="38" t="s">
        <v>71</v>
      </c>
      <c r="D39" s="38" t="s">
        <v>449</v>
      </c>
      <c r="E39" s="38" t="s">
        <v>32</v>
      </c>
      <c r="F39" s="45">
        <v>1</v>
      </c>
      <c r="G39" s="46">
        <v>145.87</v>
      </c>
      <c r="H39" s="47">
        <f t="shared" si="3"/>
        <v>145.87</v>
      </c>
      <c r="I39" s="39" t="s">
        <v>33</v>
      </c>
      <c r="J39" s="41"/>
    </row>
    <row r="40" spans="1:10" ht="14.65" customHeight="1" x14ac:dyDescent="0.25">
      <c r="A40" s="23">
        <f t="shared" si="2"/>
        <v>37</v>
      </c>
      <c r="B40" s="26"/>
      <c r="C40" s="38" t="s">
        <v>72</v>
      </c>
      <c r="D40" s="38" t="s">
        <v>450</v>
      </c>
      <c r="E40" s="38" t="s">
        <v>32</v>
      </c>
      <c r="F40" s="45">
        <v>1</v>
      </c>
      <c r="G40" s="46">
        <v>752.95</v>
      </c>
      <c r="H40" s="47">
        <f t="shared" si="3"/>
        <v>752.95</v>
      </c>
      <c r="I40" s="39" t="s">
        <v>33</v>
      </c>
      <c r="J40" s="41"/>
    </row>
    <row r="41" spans="1:10" ht="14.65" customHeight="1" x14ac:dyDescent="0.25">
      <c r="A41" s="23">
        <f t="shared" si="2"/>
        <v>38</v>
      </c>
      <c r="B41" s="26"/>
      <c r="C41" s="38" t="s">
        <v>73</v>
      </c>
      <c r="D41" s="38" t="s">
        <v>74</v>
      </c>
      <c r="E41" s="38" t="s">
        <v>32</v>
      </c>
      <c r="F41" s="45">
        <v>1</v>
      </c>
      <c r="G41" s="46">
        <v>397</v>
      </c>
      <c r="H41" s="47">
        <f t="shared" si="3"/>
        <v>397</v>
      </c>
      <c r="I41" s="39" t="s">
        <v>33</v>
      </c>
      <c r="J41" s="41"/>
    </row>
    <row r="42" spans="1:10" ht="14.65" customHeight="1" x14ac:dyDescent="0.25">
      <c r="A42" s="23">
        <f t="shared" si="2"/>
        <v>39</v>
      </c>
      <c r="B42" s="26"/>
      <c r="C42" s="38" t="s">
        <v>75</v>
      </c>
      <c r="D42" s="38" t="s">
        <v>76</v>
      </c>
      <c r="E42" s="38" t="s">
        <v>32</v>
      </c>
      <c r="F42" s="45">
        <v>1</v>
      </c>
      <c r="G42" s="46">
        <v>30.69</v>
      </c>
      <c r="H42" s="47">
        <f t="shared" si="3"/>
        <v>30.69</v>
      </c>
      <c r="I42" s="39" t="s">
        <v>33</v>
      </c>
      <c r="J42" s="41"/>
    </row>
    <row r="43" spans="1:10" ht="14.65" customHeight="1" x14ac:dyDescent="0.25">
      <c r="A43" s="23">
        <f t="shared" si="2"/>
        <v>40</v>
      </c>
      <c r="B43" s="26"/>
      <c r="C43" s="38" t="s">
        <v>77</v>
      </c>
      <c r="D43" s="38" t="s">
        <v>78</v>
      </c>
      <c r="E43" s="38" t="s">
        <v>32</v>
      </c>
      <c r="F43" s="45">
        <v>1</v>
      </c>
      <c r="G43" s="46">
        <v>175.97</v>
      </c>
      <c r="H43" s="47">
        <f t="shared" si="3"/>
        <v>175.97</v>
      </c>
      <c r="I43" s="39" t="s">
        <v>33</v>
      </c>
      <c r="J43" s="41"/>
    </row>
    <row r="44" spans="1:10" ht="14.65" customHeight="1" x14ac:dyDescent="0.25">
      <c r="A44" s="23">
        <f t="shared" si="2"/>
        <v>41</v>
      </c>
      <c r="B44" s="26"/>
      <c r="C44" s="38" t="s">
        <v>79</v>
      </c>
      <c r="D44" s="38" t="s">
        <v>80</v>
      </c>
      <c r="E44" s="38" t="s">
        <v>32</v>
      </c>
      <c r="F44" s="45">
        <v>4</v>
      </c>
      <c r="G44" s="46">
        <v>22.84</v>
      </c>
      <c r="H44" s="47">
        <f t="shared" si="3"/>
        <v>91.36</v>
      </c>
      <c r="I44" s="39" t="s">
        <v>33</v>
      </c>
      <c r="J44" s="41"/>
    </row>
    <row r="45" spans="1:10" ht="14.65" customHeight="1" x14ac:dyDescent="0.25">
      <c r="A45" s="23">
        <f t="shared" si="2"/>
        <v>42</v>
      </c>
      <c r="B45" s="26"/>
      <c r="C45" s="38" t="s">
        <v>79</v>
      </c>
      <c r="D45" s="38" t="s">
        <v>81</v>
      </c>
      <c r="E45" s="38" t="s">
        <v>32</v>
      </c>
      <c r="F45" s="45">
        <v>4</v>
      </c>
      <c r="G45" s="46">
        <v>21.83</v>
      </c>
      <c r="H45" s="47">
        <f t="shared" si="3"/>
        <v>87.32</v>
      </c>
      <c r="I45" s="39" t="s">
        <v>33</v>
      </c>
      <c r="J45" s="41"/>
    </row>
    <row r="46" spans="1:10" ht="14.65" customHeight="1" x14ac:dyDescent="0.25">
      <c r="A46" s="23">
        <f t="shared" ref="A46:A73" si="4">ROW()-3</f>
        <v>43</v>
      </c>
      <c r="B46" s="26"/>
      <c r="C46" s="38" t="s">
        <v>82</v>
      </c>
      <c r="D46" s="38" t="s">
        <v>83</v>
      </c>
      <c r="E46" s="38" t="s">
        <v>32</v>
      </c>
      <c r="F46" s="45">
        <v>1</v>
      </c>
      <c r="G46" s="46">
        <v>252.73</v>
      </c>
      <c r="H46" s="47">
        <f t="shared" ref="H46:H73" si="5">F46*G46</f>
        <v>252.73</v>
      </c>
      <c r="I46" s="39" t="s">
        <v>33</v>
      </c>
      <c r="J46" s="41"/>
    </row>
    <row r="47" spans="1:10" ht="14.65" customHeight="1" x14ac:dyDescent="0.25">
      <c r="A47" s="23">
        <f t="shared" si="4"/>
        <v>44</v>
      </c>
      <c r="B47" s="26"/>
      <c r="C47" s="38" t="s">
        <v>84</v>
      </c>
      <c r="D47" s="38" t="s">
        <v>85</v>
      </c>
      <c r="E47" s="38" t="s">
        <v>32</v>
      </c>
      <c r="F47" s="45">
        <v>1</v>
      </c>
      <c r="G47" s="46">
        <v>125.36</v>
      </c>
      <c r="H47" s="47">
        <f t="shared" si="5"/>
        <v>125.36</v>
      </c>
      <c r="I47" s="39" t="s">
        <v>33</v>
      </c>
      <c r="J47" s="41"/>
    </row>
    <row r="48" spans="1:10" ht="14.65" customHeight="1" x14ac:dyDescent="0.25">
      <c r="A48" s="23">
        <f t="shared" si="4"/>
        <v>45</v>
      </c>
      <c r="B48" s="26"/>
      <c r="C48" s="38" t="s">
        <v>86</v>
      </c>
      <c r="D48" s="38" t="s">
        <v>87</v>
      </c>
      <c r="E48" s="38" t="s">
        <v>32</v>
      </c>
      <c r="F48" s="45">
        <v>1</v>
      </c>
      <c r="G48" s="46">
        <v>237.29</v>
      </c>
      <c r="H48" s="47">
        <f t="shared" si="5"/>
        <v>237.29</v>
      </c>
      <c r="I48" s="39" t="s">
        <v>33</v>
      </c>
      <c r="J48" s="41"/>
    </row>
    <row r="49" spans="1:10" ht="14.65" customHeight="1" x14ac:dyDescent="0.25">
      <c r="A49" s="23">
        <f t="shared" si="4"/>
        <v>46</v>
      </c>
      <c r="B49" s="26"/>
      <c r="C49" s="38" t="s">
        <v>88</v>
      </c>
      <c r="D49" s="38" t="s">
        <v>89</v>
      </c>
      <c r="E49" s="38" t="s">
        <v>32</v>
      </c>
      <c r="F49" s="45">
        <v>2</v>
      </c>
      <c r="G49" s="46">
        <v>48.8</v>
      </c>
      <c r="H49" s="47">
        <f t="shared" si="5"/>
        <v>97.6</v>
      </c>
      <c r="I49" s="39" t="s">
        <v>33</v>
      </c>
      <c r="J49" s="41"/>
    </row>
    <row r="50" spans="1:10" ht="14.65" customHeight="1" x14ac:dyDescent="0.25">
      <c r="A50" s="23">
        <f t="shared" si="4"/>
        <v>47</v>
      </c>
      <c r="B50" s="26"/>
      <c r="C50" s="38" t="s">
        <v>49</v>
      </c>
      <c r="D50" s="38" t="s">
        <v>90</v>
      </c>
      <c r="E50" s="38" t="s">
        <v>32</v>
      </c>
      <c r="F50" s="45">
        <v>1</v>
      </c>
      <c r="G50" s="46">
        <v>24.45</v>
      </c>
      <c r="H50" s="47">
        <f t="shared" si="5"/>
        <v>24.45</v>
      </c>
      <c r="I50" s="39" t="s">
        <v>33</v>
      </c>
      <c r="J50" s="41"/>
    </row>
    <row r="51" spans="1:10" ht="14.65" customHeight="1" x14ac:dyDescent="0.25">
      <c r="A51" s="23">
        <f t="shared" si="4"/>
        <v>48</v>
      </c>
      <c r="B51" s="26"/>
      <c r="C51" s="38" t="s">
        <v>49</v>
      </c>
      <c r="D51" s="38" t="s">
        <v>91</v>
      </c>
      <c r="E51" s="38" t="s">
        <v>32</v>
      </c>
      <c r="F51" s="45">
        <v>1</v>
      </c>
      <c r="G51" s="46">
        <v>23.3</v>
      </c>
      <c r="H51" s="47">
        <f t="shared" si="5"/>
        <v>23.3</v>
      </c>
      <c r="I51" s="39" t="s">
        <v>33</v>
      </c>
      <c r="J51" s="41"/>
    </row>
    <row r="52" spans="1:10" ht="14.65" customHeight="1" x14ac:dyDescent="0.25">
      <c r="A52" s="23">
        <f t="shared" si="4"/>
        <v>49</v>
      </c>
      <c r="B52" s="26"/>
      <c r="C52" s="38" t="s">
        <v>49</v>
      </c>
      <c r="D52" s="38" t="s">
        <v>92</v>
      </c>
      <c r="E52" s="38" t="s">
        <v>32</v>
      </c>
      <c r="F52" s="45">
        <v>1</v>
      </c>
      <c r="G52" s="46">
        <v>23.3</v>
      </c>
      <c r="H52" s="47">
        <f t="shared" si="5"/>
        <v>23.3</v>
      </c>
      <c r="I52" s="39" t="s">
        <v>33</v>
      </c>
      <c r="J52" s="41"/>
    </row>
    <row r="53" spans="1:10" ht="14.65" customHeight="1" x14ac:dyDescent="0.25">
      <c r="A53" s="23">
        <f t="shared" si="4"/>
        <v>50</v>
      </c>
      <c r="B53" s="26"/>
      <c r="C53" s="38" t="s">
        <v>93</v>
      </c>
      <c r="D53" s="38" t="s">
        <v>402</v>
      </c>
      <c r="E53" s="38" t="s">
        <v>32</v>
      </c>
      <c r="F53" s="45">
        <v>4</v>
      </c>
      <c r="G53" s="46">
        <v>33.03</v>
      </c>
      <c r="H53" s="47">
        <f t="shared" si="5"/>
        <v>132.12</v>
      </c>
      <c r="I53" s="39" t="s">
        <v>33</v>
      </c>
      <c r="J53" s="41"/>
    </row>
    <row r="54" spans="1:10" ht="14.65" customHeight="1" x14ac:dyDescent="0.25">
      <c r="A54" s="23">
        <f t="shared" si="4"/>
        <v>51</v>
      </c>
      <c r="B54" s="26"/>
      <c r="C54" s="38" t="s">
        <v>94</v>
      </c>
      <c r="D54" s="38" t="s">
        <v>95</v>
      </c>
      <c r="E54" s="38" t="s">
        <v>32</v>
      </c>
      <c r="F54" s="45">
        <v>1</v>
      </c>
      <c r="G54" s="46">
        <v>85</v>
      </c>
      <c r="H54" s="47">
        <f t="shared" si="5"/>
        <v>85</v>
      </c>
      <c r="I54" s="39" t="s">
        <v>33</v>
      </c>
      <c r="J54" s="41"/>
    </row>
    <row r="55" spans="1:10" ht="14.65" customHeight="1" x14ac:dyDescent="0.25">
      <c r="A55" s="23">
        <f t="shared" si="4"/>
        <v>52</v>
      </c>
      <c r="B55" s="26"/>
      <c r="C55" s="38" t="s">
        <v>96</v>
      </c>
      <c r="D55" s="38" t="s">
        <v>97</v>
      </c>
      <c r="E55" s="38" t="s">
        <v>32</v>
      </c>
      <c r="F55" s="45">
        <v>1</v>
      </c>
      <c r="G55" s="46">
        <v>15</v>
      </c>
      <c r="H55" s="47">
        <f t="shared" si="5"/>
        <v>15</v>
      </c>
      <c r="I55" s="39" t="s">
        <v>33</v>
      </c>
      <c r="J55" s="41"/>
    </row>
    <row r="56" spans="1:10" ht="14.65" customHeight="1" x14ac:dyDescent="0.25">
      <c r="A56" s="23">
        <f t="shared" si="4"/>
        <v>53</v>
      </c>
      <c r="B56" s="26"/>
      <c r="C56" s="38" t="s">
        <v>98</v>
      </c>
      <c r="D56" s="38" t="s">
        <v>99</v>
      </c>
      <c r="E56" s="38" t="s">
        <v>32</v>
      </c>
      <c r="F56" s="45">
        <v>1</v>
      </c>
      <c r="G56" s="46">
        <v>0</v>
      </c>
      <c r="H56" s="47">
        <f t="shared" si="5"/>
        <v>0</v>
      </c>
      <c r="I56" s="39" t="s">
        <v>419</v>
      </c>
      <c r="J56" s="41"/>
    </row>
    <row r="57" spans="1:10" ht="14.65" customHeight="1" x14ac:dyDescent="0.25">
      <c r="A57" s="23">
        <f t="shared" si="4"/>
        <v>54</v>
      </c>
      <c r="B57" s="26"/>
      <c r="C57" s="38" t="s">
        <v>49</v>
      </c>
      <c r="D57" s="38" t="s">
        <v>100</v>
      </c>
      <c r="E57" s="38" t="s">
        <v>32</v>
      </c>
      <c r="F57" s="45">
        <v>1</v>
      </c>
      <c r="G57" s="46">
        <v>40</v>
      </c>
      <c r="H57" s="47">
        <f t="shared" si="5"/>
        <v>40</v>
      </c>
      <c r="I57" s="39" t="s">
        <v>101</v>
      </c>
      <c r="J57" s="41"/>
    </row>
    <row r="58" spans="1:10" ht="14.65" customHeight="1" x14ac:dyDescent="0.25">
      <c r="A58" s="23">
        <f t="shared" si="4"/>
        <v>55</v>
      </c>
      <c r="B58" s="26"/>
      <c r="C58" s="38" t="s">
        <v>102</v>
      </c>
      <c r="D58" s="38" t="s">
        <v>103</v>
      </c>
      <c r="E58" s="38" t="s">
        <v>32</v>
      </c>
      <c r="F58" s="45">
        <v>10</v>
      </c>
      <c r="G58" s="46">
        <v>50</v>
      </c>
      <c r="H58" s="47">
        <f t="shared" si="5"/>
        <v>500</v>
      </c>
      <c r="I58" s="39" t="s">
        <v>403</v>
      </c>
      <c r="J58" s="41"/>
    </row>
    <row r="59" spans="1:10" ht="14.65" customHeight="1" x14ac:dyDescent="0.25">
      <c r="A59" s="23">
        <f t="shared" si="4"/>
        <v>56</v>
      </c>
      <c r="B59" s="26"/>
      <c r="C59" s="38" t="s">
        <v>104</v>
      </c>
      <c r="D59" s="38" t="s">
        <v>105</v>
      </c>
      <c r="E59" s="38" t="s">
        <v>32</v>
      </c>
      <c r="F59" s="45">
        <v>1</v>
      </c>
      <c r="G59" s="46">
        <v>71.790000000000006</v>
      </c>
      <c r="H59" s="47">
        <f t="shared" si="5"/>
        <v>71.790000000000006</v>
      </c>
      <c r="I59" s="39" t="s">
        <v>106</v>
      </c>
      <c r="J59" s="41"/>
    </row>
    <row r="60" spans="1:10" ht="14.65" customHeight="1" x14ac:dyDescent="0.25">
      <c r="A60" s="23">
        <f t="shared" si="4"/>
        <v>57</v>
      </c>
      <c r="B60" s="26"/>
      <c r="C60" s="38" t="s">
        <v>107</v>
      </c>
      <c r="D60" s="38" t="s">
        <v>108</v>
      </c>
      <c r="E60" s="38" t="s">
        <v>32</v>
      </c>
      <c r="F60" s="45">
        <v>1</v>
      </c>
      <c r="G60" s="46">
        <v>5.37</v>
      </c>
      <c r="H60" s="47">
        <f t="shared" si="5"/>
        <v>5.37</v>
      </c>
      <c r="I60" s="39" t="s">
        <v>109</v>
      </c>
      <c r="J60" s="41"/>
    </row>
    <row r="61" spans="1:10" ht="14.65" customHeight="1" x14ac:dyDescent="0.25">
      <c r="A61" s="23">
        <f t="shared" si="4"/>
        <v>58</v>
      </c>
      <c r="B61" s="26"/>
      <c r="C61" s="38" t="s">
        <v>110</v>
      </c>
      <c r="D61" s="38" t="s">
        <v>437</v>
      </c>
      <c r="E61" s="38" t="s">
        <v>32</v>
      </c>
      <c r="F61" s="45">
        <v>1</v>
      </c>
      <c r="G61" s="46">
        <v>5051.6899999999996</v>
      </c>
      <c r="H61" s="47">
        <f t="shared" si="5"/>
        <v>5051.6899999999996</v>
      </c>
      <c r="I61" s="39" t="s">
        <v>111</v>
      </c>
      <c r="J61" s="41"/>
    </row>
    <row r="62" spans="1:10" ht="14.65" customHeight="1" x14ac:dyDescent="0.25">
      <c r="A62" s="23">
        <f t="shared" si="4"/>
        <v>59</v>
      </c>
      <c r="B62" s="26"/>
      <c r="C62" s="38" t="s">
        <v>110</v>
      </c>
      <c r="D62" s="38" t="s">
        <v>438</v>
      </c>
      <c r="E62" s="38" t="s">
        <v>32</v>
      </c>
      <c r="F62" s="45">
        <v>3</v>
      </c>
      <c r="G62" s="46">
        <v>3485.68</v>
      </c>
      <c r="H62" s="47">
        <f t="shared" si="5"/>
        <v>10457.039999999999</v>
      </c>
      <c r="I62" s="39" t="s">
        <v>112</v>
      </c>
      <c r="J62" s="41"/>
    </row>
    <row r="63" spans="1:10" ht="14.65" customHeight="1" x14ac:dyDescent="0.25">
      <c r="A63" s="23">
        <f t="shared" si="4"/>
        <v>60</v>
      </c>
      <c r="B63" s="26"/>
      <c r="C63" s="38" t="s">
        <v>113</v>
      </c>
      <c r="D63" s="38" t="s">
        <v>415</v>
      </c>
      <c r="E63" s="38" t="s">
        <v>32</v>
      </c>
      <c r="F63" s="45">
        <v>1</v>
      </c>
      <c r="G63" s="46">
        <v>2248.13</v>
      </c>
      <c r="H63" s="47">
        <f t="shared" si="5"/>
        <v>2248.13</v>
      </c>
      <c r="I63" s="39" t="s">
        <v>114</v>
      </c>
      <c r="J63" s="41"/>
    </row>
    <row r="64" spans="1:10" ht="14.65" customHeight="1" x14ac:dyDescent="0.25">
      <c r="A64" s="23">
        <f t="shared" si="4"/>
        <v>61</v>
      </c>
      <c r="B64" s="26"/>
      <c r="C64" s="38" t="s">
        <v>115</v>
      </c>
      <c r="D64" s="38" t="s">
        <v>461</v>
      </c>
      <c r="E64" s="38" t="s">
        <v>32</v>
      </c>
      <c r="F64" s="45">
        <v>1</v>
      </c>
      <c r="G64" s="46">
        <v>1726.54</v>
      </c>
      <c r="H64" s="47">
        <f t="shared" si="5"/>
        <v>1726.54</v>
      </c>
      <c r="I64" s="39" t="s">
        <v>116</v>
      </c>
      <c r="J64" s="41"/>
    </row>
    <row r="65" spans="1:10" ht="14.65" customHeight="1" x14ac:dyDescent="0.25">
      <c r="A65" s="23">
        <f t="shared" si="4"/>
        <v>62</v>
      </c>
      <c r="B65" s="26"/>
      <c r="C65" s="38" t="s">
        <v>117</v>
      </c>
      <c r="D65" s="38" t="s">
        <v>118</v>
      </c>
      <c r="E65" s="38" t="s">
        <v>32</v>
      </c>
      <c r="F65" s="45">
        <v>4</v>
      </c>
      <c r="G65" s="46">
        <v>491.24</v>
      </c>
      <c r="H65" s="47">
        <f t="shared" si="5"/>
        <v>1964.96</v>
      </c>
      <c r="I65" s="39" t="s">
        <v>33</v>
      </c>
      <c r="J65" s="41"/>
    </row>
    <row r="66" spans="1:10" ht="14.65" customHeight="1" x14ac:dyDescent="0.25">
      <c r="A66" s="23">
        <f t="shared" si="4"/>
        <v>63</v>
      </c>
      <c r="B66" s="26"/>
      <c r="C66" s="38" t="s">
        <v>119</v>
      </c>
      <c r="D66" s="38" t="s">
        <v>120</v>
      </c>
      <c r="E66" s="38" t="s">
        <v>121</v>
      </c>
      <c r="F66" s="45">
        <v>4</v>
      </c>
      <c r="G66" s="46">
        <v>0.18</v>
      </c>
      <c r="H66" s="47">
        <f t="shared" si="5"/>
        <v>0.72</v>
      </c>
      <c r="I66" s="39" t="s">
        <v>122</v>
      </c>
      <c r="J66" s="41"/>
    </row>
    <row r="67" spans="1:10" ht="14.65" customHeight="1" x14ac:dyDescent="0.25">
      <c r="A67" s="23">
        <f t="shared" si="4"/>
        <v>64</v>
      </c>
      <c r="B67" s="26"/>
      <c r="C67" s="38" t="s">
        <v>123</v>
      </c>
      <c r="D67" s="38" t="s">
        <v>124</v>
      </c>
      <c r="E67" s="38" t="s">
        <v>121</v>
      </c>
      <c r="F67" s="45">
        <v>1</v>
      </c>
      <c r="G67" s="46">
        <v>0.44</v>
      </c>
      <c r="H67" s="47">
        <f t="shared" si="5"/>
        <v>0.44</v>
      </c>
      <c r="I67" s="39" t="s">
        <v>125</v>
      </c>
      <c r="J67" s="41"/>
    </row>
    <row r="68" spans="1:10" ht="14.65" customHeight="1" x14ac:dyDescent="0.25">
      <c r="A68" s="23">
        <f t="shared" si="4"/>
        <v>65</v>
      </c>
      <c r="B68" s="26"/>
      <c r="C68" s="38" t="s">
        <v>126</v>
      </c>
      <c r="D68" s="38" t="s">
        <v>127</v>
      </c>
      <c r="E68" s="38" t="s">
        <v>121</v>
      </c>
      <c r="F68" s="45">
        <v>2</v>
      </c>
      <c r="G68" s="46">
        <v>0.64</v>
      </c>
      <c r="H68" s="47">
        <f t="shared" si="5"/>
        <v>1.28</v>
      </c>
      <c r="I68" s="39" t="s">
        <v>128</v>
      </c>
      <c r="J68" s="41"/>
    </row>
    <row r="69" spans="1:10" ht="14.65" customHeight="1" x14ac:dyDescent="0.25">
      <c r="A69" s="23">
        <f t="shared" si="4"/>
        <v>66</v>
      </c>
      <c r="B69" s="26"/>
      <c r="C69" s="38" t="s">
        <v>129</v>
      </c>
      <c r="D69" s="38" t="s">
        <v>130</v>
      </c>
      <c r="E69" s="38" t="s">
        <v>121</v>
      </c>
      <c r="F69" s="45">
        <v>1</v>
      </c>
      <c r="G69" s="46">
        <v>0.72</v>
      </c>
      <c r="H69" s="47">
        <f t="shared" si="5"/>
        <v>0.72</v>
      </c>
      <c r="I69" s="39" t="s">
        <v>131</v>
      </c>
      <c r="J69" s="41"/>
    </row>
    <row r="70" spans="1:10" ht="14.65" customHeight="1" x14ac:dyDescent="0.25">
      <c r="A70" s="23">
        <f t="shared" si="4"/>
        <v>67</v>
      </c>
      <c r="B70" s="26"/>
      <c r="C70" s="38" t="s">
        <v>132</v>
      </c>
      <c r="D70" s="38" t="s">
        <v>133</v>
      </c>
      <c r="E70" s="38" t="s">
        <v>121</v>
      </c>
      <c r="F70" s="45">
        <v>2</v>
      </c>
      <c r="G70" s="46">
        <v>15.31</v>
      </c>
      <c r="H70" s="47">
        <f t="shared" si="5"/>
        <v>30.62</v>
      </c>
      <c r="I70" s="39" t="s">
        <v>134</v>
      </c>
      <c r="J70" s="41"/>
    </row>
    <row r="71" spans="1:10" ht="14.65" customHeight="1" x14ac:dyDescent="0.25">
      <c r="A71" s="23">
        <f t="shared" si="4"/>
        <v>68</v>
      </c>
      <c r="B71" s="26"/>
      <c r="C71" s="38" t="s">
        <v>135</v>
      </c>
      <c r="D71" s="38" t="s">
        <v>136</v>
      </c>
      <c r="E71" s="38" t="s">
        <v>121</v>
      </c>
      <c r="F71" s="45">
        <v>1</v>
      </c>
      <c r="G71" s="46">
        <v>21.82</v>
      </c>
      <c r="H71" s="47">
        <f t="shared" si="5"/>
        <v>21.82</v>
      </c>
      <c r="I71" s="39" t="s">
        <v>137</v>
      </c>
      <c r="J71" s="41"/>
    </row>
    <row r="72" spans="1:10" ht="14.65" customHeight="1" x14ac:dyDescent="0.25">
      <c r="A72" s="23">
        <f t="shared" si="4"/>
        <v>69</v>
      </c>
      <c r="B72" s="26"/>
      <c r="C72" s="38" t="s">
        <v>138</v>
      </c>
      <c r="D72" s="38" t="s">
        <v>139</v>
      </c>
      <c r="E72" s="38" t="s">
        <v>121</v>
      </c>
      <c r="F72" s="45">
        <v>1</v>
      </c>
      <c r="G72" s="46">
        <v>24.57</v>
      </c>
      <c r="H72" s="47">
        <f t="shared" si="5"/>
        <v>24.57</v>
      </c>
      <c r="I72" s="39" t="s">
        <v>140</v>
      </c>
      <c r="J72" s="41"/>
    </row>
    <row r="73" spans="1:10" ht="14.65" customHeight="1" x14ac:dyDescent="0.25">
      <c r="A73" s="23">
        <f t="shared" si="4"/>
        <v>70</v>
      </c>
      <c r="B73" s="26"/>
      <c r="C73" s="38" t="s">
        <v>141</v>
      </c>
      <c r="D73" s="38" t="s">
        <v>142</v>
      </c>
      <c r="E73" s="38" t="s">
        <v>143</v>
      </c>
      <c r="F73" s="45">
        <v>1</v>
      </c>
      <c r="G73" s="46">
        <v>14.76</v>
      </c>
      <c r="H73" s="47">
        <f t="shared" si="5"/>
        <v>14.76</v>
      </c>
      <c r="I73" s="39" t="s">
        <v>144</v>
      </c>
      <c r="J73" s="41"/>
    </row>
    <row r="74" spans="1:10" ht="14.65" customHeight="1" x14ac:dyDescent="0.25">
      <c r="A74" s="23">
        <f t="shared" ref="A74:A127" si="6">ROW()-3</f>
        <v>71</v>
      </c>
      <c r="B74" s="26"/>
      <c r="C74" s="38" t="s">
        <v>145</v>
      </c>
      <c r="D74" s="38" t="s">
        <v>146</v>
      </c>
      <c r="E74" s="38" t="s">
        <v>143</v>
      </c>
      <c r="F74" s="45">
        <v>1</v>
      </c>
      <c r="G74" s="46">
        <v>16.32</v>
      </c>
      <c r="H74" s="47">
        <f t="shared" ref="H74:H98" si="7">F74*G74</f>
        <v>16.32</v>
      </c>
      <c r="I74" s="39" t="s">
        <v>147</v>
      </c>
      <c r="J74" s="41"/>
    </row>
    <row r="75" spans="1:10" ht="14.65" customHeight="1" x14ac:dyDescent="0.25">
      <c r="A75" s="23">
        <f t="shared" si="6"/>
        <v>72</v>
      </c>
      <c r="B75" s="26"/>
      <c r="C75" s="38" t="s">
        <v>148</v>
      </c>
      <c r="D75" s="38" t="s">
        <v>149</v>
      </c>
      <c r="E75" s="38" t="s">
        <v>150</v>
      </c>
      <c r="F75" s="45">
        <v>3</v>
      </c>
      <c r="G75" s="46">
        <v>0.82</v>
      </c>
      <c r="H75" s="47">
        <f t="shared" si="7"/>
        <v>2.46</v>
      </c>
      <c r="I75" s="39" t="s">
        <v>151</v>
      </c>
      <c r="J75" s="41"/>
    </row>
    <row r="76" spans="1:10" ht="14.65" customHeight="1" x14ac:dyDescent="0.25">
      <c r="A76" s="23">
        <f t="shared" si="6"/>
        <v>73</v>
      </c>
      <c r="B76" s="26"/>
      <c r="C76" s="38" t="s">
        <v>152</v>
      </c>
      <c r="D76" s="38" t="s">
        <v>153</v>
      </c>
      <c r="E76" s="38" t="s">
        <v>150</v>
      </c>
      <c r="F76" s="45">
        <v>10</v>
      </c>
      <c r="G76" s="46">
        <v>0.28000000000000003</v>
      </c>
      <c r="H76" s="47">
        <f t="shared" si="7"/>
        <v>2.8000000000000003</v>
      </c>
      <c r="I76" s="39" t="s">
        <v>154</v>
      </c>
      <c r="J76" s="41"/>
    </row>
    <row r="77" spans="1:10" ht="14.65" customHeight="1" x14ac:dyDescent="0.25">
      <c r="A77" s="23">
        <f t="shared" si="6"/>
        <v>74</v>
      </c>
      <c r="B77" s="26"/>
      <c r="C77" s="38" t="s">
        <v>155</v>
      </c>
      <c r="D77" s="38" t="s">
        <v>156</v>
      </c>
      <c r="E77" s="38" t="s">
        <v>150</v>
      </c>
      <c r="F77" s="45">
        <v>12</v>
      </c>
      <c r="G77" s="46">
        <v>0.36</v>
      </c>
      <c r="H77" s="47">
        <f t="shared" si="7"/>
        <v>4.32</v>
      </c>
      <c r="I77" s="39" t="s">
        <v>157</v>
      </c>
      <c r="J77" s="41"/>
    </row>
    <row r="78" spans="1:10" ht="14.65" customHeight="1" x14ac:dyDescent="0.25">
      <c r="A78" s="23">
        <f t="shared" si="6"/>
        <v>75</v>
      </c>
      <c r="B78" s="26"/>
      <c r="C78" s="38" t="s">
        <v>158</v>
      </c>
      <c r="D78" s="38" t="s">
        <v>159</v>
      </c>
      <c r="E78" s="38" t="s">
        <v>150</v>
      </c>
      <c r="F78" s="45">
        <v>8</v>
      </c>
      <c r="G78" s="46">
        <v>0.45</v>
      </c>
      <c r="H78" s="47">
        <f t="shared" si="7"/>
        <v>3.6</v>
      </c>
      <c r="I78" s="39" t="s">
        <v>160</v>
      </c>
      <c r="J78" s="41"/>
    </row>
    <row r="79" spans="1:10" ht="14.65" customHeight="1" x14ac:dyDescent="0.25">
      <c r="A79" s="23">
        <f t="shared" si="6"/>
        <v>76</v>
      </c>
      <c r="B79" s="26"/>
      <c r="C79" s="38" t="s">
        <v>161</v>
      </c>
      <c r="D79" s="38" t="s">
        <v>162</v>
      </c>
      <c r="E79" s="38" t="s">
        <v>163</v>
      </c>
      <c r="F79" s="45">
        <v>4</v>
      </c>
      <c r="G79" s="46">
        <v>7.54</v>
      </c>
      <c r="H79" s="47">
        <f t="shared" si="7"/>
        <v>30.16</v>
      </c>
      <c r="I79" s="39" t="s">
        <v>164</v>
      </c>
      <c r="J79" s="41"/>
    </row>
    <row r="80" spans="1:10" ht="14.65" customHeight="1" x14ac:dyDescent="0.25">
      <c r="A80" s="23">
        <f t="shared" si="6"/>
        <v>77</v>
      </c>
      <c r="B80" s="26"/>
      <c r="C80" s="38" t="s">
        <v>165</v>
      </c>
      <c r="D80" s="38" t="s">
        <v>166</v>
      </c>
      <c r="E80" s="38" t="s">
        <v>163</v>
      </c>
      <c r="F80" s="45">
        <v>4</v>
      </c>
      <c r="G80" s="46">
        <v>105.08</v>
      </c>
      <c r="H80" s="47">
        <f t="shared" si="7"/>
        <v>420.32</v>
      </c>
      <c r="I80" s="39" t="s">
        <v>167</v>
      </c>
      <c r="J80" s="41"/>
    </row>
    <row r="81" spans="1:10" ht="14.65" customHeight="1" x14ac:dyDescent="0.25">
      <c r="A81" s="23">
        <f t="shared" si="6"/>
        <v>78</v>
      </c>
      <c r="B81" s="26"/>
      <c r="C81" s="38" t="s">
        <v>168</v>
      </c>
      <c r="D81" s="38">
        <v>8000200718</v>
      </c>
      <c r="E81" s="38" t="s">
        <v>169</v>
      </c>
      <c r="F81" s="45">
        <v>3</v>
      </c>
      <c r="G81" s="46">
        <v>9.59</v>
      </c>
      <c r="H81" s="47">
        <f t="shared" si="7"/>
        <v>28.77</v>
      </c>
      <c r="I81" s="39" t="s">
        <v>170</v>
      </c>
      <c r="J81" s="41"/>
    </row>
    <row r="82" spans="1:10" ht="14.65" customHeight="1" x14ac:dyDescent="0.25">
      <c r="A82" s="23">
        <f t="shared" si="6"/>
        <v>79</v>
      </c>
      <c r="B82" s="26"/>
      <c r="C82" s="38" t="s">
        <v>171</v>
      </c>
      <c r="D82" s="38" t="s">
        <v>172</v>
      </c>
      <c r="E82" s="38" t="s">
        <v>173</v>
      </c>
      <c r="F82" s="45">
        <v>2</v>
      </c>
      <c r="G82" s="46">
        <v>1</v>
      </c>
      <c r="H82" s="47">
        <f t="shared" si="7"/>
        <v>2</v>
      </c>
      <c r="I82" s="39" t="s">
        <v>174</v>
      </c>
      <c r="J82" s="41"/>
    </row>
    <row r="83" spans="1:10" ht="14.65" customHeight="1" x14ac:dyDescent="0.25">
      <c r="A83" s="23">
        <f t="shared" si="6"/>
        <v>80</v>
      </c>
      <c r="B83" s="26"/>
      <c r="C83" s="38" t="s">
        <v>175</v>
      </c>
      <c r="D83" s="38" t="s">
        <v>176</v>
      </c>
      <c r="E83" s="38" t="s">
        <v>177</v>
      </c>
      <c r="F83" s="45">
        <v>1</v>
      </c>
      <c r="G83" s="46">
        <v>39.75</v>
      </c>
      <c r="H83" s="47">
        <f t="shared" si="7"/>
        <v>39.75</v>
      </c>
      <c r="I83" s="39" t="s">
        <v>178</v>
      </c>
      <c r="J83" s="41"/>
    </row>
    <row r="84" spans="1:10" ht="14.65" customHeight="1" x14ac:dyDescent="0.25">
      <c r="A84" s="23">
        <f t="shared" si="6"/>
        <v>81</v>
      </c>
      <c r="B84" s="26"/>
      <c r="C84" s="38" t="s">
        <v>179</v>
      </c>
      <c r="D84" s="38" t="s">
        <v>180</v>
      </c>
      <c r="E84" s="38" t="s">
        <v>181</v>
      </c>
      <c r="F84" s="45">
        <v>1</v>
      </c>
      <c r="G84" s="46">
        <v>70.2</v>
      </c>
      <c r="H84" s="47">
        <f t="shared" si="7"/>
        <v>70.2</v>
      </c>
      <c r="I84" s="39" t="s">
        <v>182</v>
      </c>
      <c r="J84" s="41"/>
    </row>
    <row r="85" spans="1:10" ht="14.65" customHeight="1" x14ac:dyDescent="0.25">
      <c r="A85" s="23">
        <f t="shared" si="6"/>
        <v>82</v>
      </c>
      <c r="B85" s="26"/>
      <c r="C85" s="38" t="s">
        <v>185</v>
      </c>
      <c r="D85" s="38" t="s">
        <v>186</v>
      </c>
      <c r="E85" s="38" t="s">
        <v>187</v>
      </c>
      <c r="F85" s="45">
        <v>4</v>
      </c>
      <c r="G85" s="46">
        <v>1.51</v>
      </c>
      <c r="H85" s="47">
        <f t="shared" si="7"/>
        <v>6.04</v>
      </c>
      <c r="I85" s="39" t="s">
        <v>188</v>
      </c>
      <c r="J85" s="41"/>
    </row>
    <row r="86" spans="1:10" ht="14.65" customHeight="1" x14ac:dyDescent="0.25">
      <c r="A86" s="23">
        <f t="shared" si="6"/>
        <v>83</v>
      </c>
      <c r="B86" s="26"/>
      <c r="C86" s="38" t="s">
        <v>189</v>
      </c>
      <c r="D86" s="38" t="s">
        <v>190</v>
      </c>
      <c r="E86" s="38" t="s">
        <v>187</v>
      </c>
      <c r="F86" s="45">
        <v>4</v>
      </c>
      <c r="G86" s="46">
        <v>1.51</v>
      </c>
      <c r="H86" s="47">
        <f t="shared" si="7"/>
        <v>6.04</v>
      </c>
      <c r="I86" s="39" t="s">
        <v>188</v>
      </c>
      <c r="J86" s="41"/>
    </row>
    <row r="87" spans="1:10" ht="14.65" customHeight="1" x14ac:dyDescent="0.25">
      <c r="A87" s="23">
        <f t="shared" si="6"/>
        <v>84</v>
      </c>
      <c r="B87" s="26"/>
      <c r="C87" s="38" t="s">
        <v>191</v>
      </c>
      <c r="D87" s="38">
        <v>64700001003</v>
      </c>
      <c r="E87" s="38" t="s">
        <v>187</v>
      </c>
      <c r="F87" s="45">
        <v>4</v>
      </c>
      <c r="G87" s="46">
        <v>0.78</v>
      </c>
      <c r="H87" s="47">
        <f t="shared" si="7"/>
        <v>3.12</v>
      </c>
      <c r="I87" s="39" t="s">
        <v>192</v>
      </c>
      <c r="J87" s="41"/>
    </row>
    <row r="88" spans="1:10" ht="14.65" customHeight="1" x14ac:dyDescent="0.25">
      <c r="A88" s="23">
        <f t="shared" si="6"/>
        <v>85</v>
      </c>
      <c r="B88" s="26"/>
      <c r="C88" s="38" t="s">
        <v>193</v>
      </c>
      <c r="D88" s="38" t="s">
        <v>194</v>
      </c>
      <c r="E88" s="38" t="s">
        <v>195</v>
      </c>
      <c r="F88" s="45">
        <v>1</v>
      </c>
      <c r="G88" s="46">
        <v>30.14</v>
      </c>
      <c r="H88" s="47">
        <f t="shared" si="7"/>
        <v>30.14</v>
      </c>
      <c r="I88" s="39" t="s">
        <v>196</v>
      </c>
      <c r="J88" s="41"/>
    </row>
    <row r="89" spans="1:10" ht="14.65" customHeight="1" x14ac:dyDescent="0.25">
      <c r="A89" s="23">
        <f t="shared" si="6"/>
        <v>86</v>
      </c>
      <c r="B89" s="26"/>
      <c r="C89" s="38" t="s">
        <v>201</v>
      </c>
      <c r="D89" s="38" t="s">
        <v>202</v>
      </c>
      <c r="E89" s="38" t="s">
        <v>199</v>
      </c>
      <c r="F89" s="45">
        <v>4</v>
      </c>
      <c r="G89" s="46">
        <v>50.5</v>
      </c>
      <c r="H89" s="47">
        <f t="shared" si="7"/>
        <v>202</v>
      </c>
      <c r="I89" s="39" t="s">
        <v>203</v>
      </c>
      <c r="J89" s="41"/>
    </row>
    <row r="90" spans="1:10" ht="14.65" customHeight="1" x14ac:dyDescent="0.25">
      <c r="A90" s="23">
        <f t="shared" si="6"/>
        <v>87</v>
      </c>
      <c r="B90" s="26"/>
      <c r="C90" s="38" t="s">
        <v>204</v>
      </c>
      <c r="D90" s="38" t="s">
        <v>205</v>
      </c>
      <c r="E90" s="38" t="s">
        <v>199</v>
      </c>
      <c r="F90" s="45">
        <v>2</v>
      </c>
      <c r="G90" s="46">
        <v>3.87</v>
      </c>
      <c r="H90" s="47">
        <f t="shared" si="7"/>
        <v>7.74</v>
      </c>
      <c r="I90" s="39" t="s">
        <v>206</v>
      </c>
      <c r="J90" s="41"/>
    </row>
    <row r="91" spans="1:10" ht="14.65" customHeight="1" x14ac:dyDescent="0.25">
      <c r="A91" s="23">
        <f t="shared" si="6"/>
        <v>88</v>
      </c>
      <c r="B91" s="26"/>
      <c r="C91" s="38" t="s">
        <v>207</v>
      </c>
      <c r="D91" s="38" t="s">
        <v>208</v>
      </c>
      <c r="E91" s="38" t="s">
        <v>199</v>
      </c>
      <c r="F91" s="45">
        <v>1</v>
      </c>
      <c r="G91" s="46">
        <v>0.13</v>
      </c>
      <c r="H91" s="47">
        <f t="shared" si="7"/>
        <v>0.13</v>
      </c>
      <c r="I91" s="39" t="s">
        <v>209</v>
      </c>
      <c r="J91" s="41"/>
    </row>
    <row r="92" spans="1:10" ht="14.65" customHeight="1" x14ac:dyDescent="0.25">
      <c r="A92" s="23">
        <f t="shared" si="6"/>
        <v>89</v>
      </c>
      <c r="B92" s="26"/>
      <c r="C92" s="38" t="s">
        <v>210</v>
      </c>
      <c r="D92" s="38" t="s">
        <v>211</v>
      </c>
      <c r="E92" s="38" t="s">
        <v>199</v>
      </c>
      <c r="F92" s="45">
        <v>4</v>
      </c>
      <c r="G92" s="46">
        <v>20.46</v>
      </c>
      <c r="H92" s="47">
        <f t="shared" si="7"/>
        <v>81.84</v>
      </c>
      <c r="I92" s="39" t="s">
        <v>212</v>
      </c>
      <c r="J92" s="41"/>
    </row>
    <row r="93" spans="1:10" ht="14.65" customHeight="1" x14ac:dyDescent="0.25">
      <c r="A93" s="23">
        <f t="shared" si="6"/>
        <v>90</v>
      </c>
      <c r="B93" s="26"/>
      <c r="C93" s="38" t="s">
        <v>216</v>
      </c>
      <c r="D93" s="38" t="s">
        <v>217</v>
      </c>
      <c r="E93" s="38" t="s">
        <v>199</v>
      </c>
      <c r="F93" s="45">
        <v>2</v>
      </c>
      <c r="G93" s="46">
        <v>17.86</v>
      </c>
      <c r="H93" s="47">
        <f t="shared" si="7"/>
        <v>35.72</v>
      </c>
      <c r="I93" s="39" t="s">
        <v>218</v>
      </c>
      <c r="J93" s="41"/>
    </row>
    <row r="94" spans="1:10" ht="14.65" customHeight="1" x14ac:dyDescent="0.25">
      <c r="A94" s="23">
        <f t="shared" si="6"/>
        <v>91</v>
      </c>
      <c r="B94" s="26"/>
      <c r="C94" s="38" t="s">
        <v>219</v>
      </c>
      <c r="D94" s="38" t="s">
        <v>220</v>
      </c>
      <c r="E94" s="38" t="s">
        <v>199</v>
      </c>
      <c r="F94" s="45">
        <v>1</v>
      </c>
      <c r="G94" s="46">
        <v>6.66</v>
      </c>
      <c r="H94" s="47">
        <f t="shared" si="7"/>
        <v>6.66</v>
      </c>
      <c r="I94" s="39" t="s">
        <v>221</v>
      </c>
      <c r="J94" s="41"/>
    </row>
    <row r="95" spans="1:10" ht="14.65" customHeight="1" x14ac:dyDescent="0.25">
      <c r="A95" s="23">
        <f t="shared" si="6"/>
        <v>92</v>
      </c>
      <c r="B95" s="26"/>
      <c r="C95" s="38" t="s">
        <v>222</v>
      </c>
      <c r="D95" s="38" t="s">
        <v>223</v>
      </c>
      <c r="E95" s="38" t="s">
        <v>199</v>
      </c>
      <c r="F95" s="45">
        <v>1</v>
      </c>
      <c r="G95" s="46">
        <v>5.62</v>
      </c>
      <c r="H95" s="47">
        <f t="shared" si="7"/>
        <v>5.62</v>
      </c>
      <c r="I95" s="39" t="s">
        <v>224</v>
      </c>
      <c r="J95" s="41"/>
    </row>
    <row r="96" spans="1:10" ht="14.65" customHeight="1" x14ac:dyDescent="0.25">
      <c r="A96" s="23">
        <f t="shared" si="6"/>
        <v>93</v>
      </c>
      <c r="B96" s="26"/>
      <c r="C96" s="38" t="s">
        <v>225</v>
      </c>
      <c r="D96" s="38" t="s">
        <v>226</v>
      </c>
      <c r="E96" s="38" t="s">
        <v>199</v>
      </c>
      <c r="F96" s="45">
        <v>4</v>
      </c>
      <c r="G96" s="46">
        <v>0.04</v>
      </c>
      <c r="H96" s="47">
        <f t="shared" si="7"/>
        <v>0.16</v>
      </c>
      <c r="I96" s="39" t="s">
        <v>227</v>
      </c>
      <c r="J96" s="41"/>
    </row>
    <row r="97" spans="1:10" ht="14.65" customHeight="1" x14ac:dyDescent="0.25">
      <c r="A97" s="23">
        <f t="shared" si="6"/>
        <v>94</v>
      </c>
      <c r="B97" s="26"/>
      <c r="C97" s="38" t="s">
        <v>237</v>
      </c>
      <c r="D97" s="38" t="s">
        <v>238</v>
      </c>
      <c r="E97" s="38" t="s">
        <v>199</v>
      </c>
      <c r="F97" s="45">
        <v>2</v>
      </c>
      <c r="G97" s="46">
        <v>0.12</v>
      </c>
      <c r="H97" s="47">
        <f t="shared" si="7"/>
        <v>0.24</v>
      </c>
      <c r="I97" s="39" t="s">
        <v>239</v>
      </c>
      <c r="J97" s="41"/>
    </row>
    <row r="98" spans="1:10" ht="14.65" customHeight="1" x14ac:dyDescent="0.25">
      <c r="A98" s="23">
        <f t="shared" si="6"/>
        <v>95</v>
      </c>
      <c r="B98" s="26"/>
      <c r="C98" s="38" t="s">
        <v>240</v>
      </c>
      <c r="D98" s="38" t="s">
        <v>241</v>
      </c>
      <c r="E98" s="38" t="s">
        <v>199</v>
      </c>
      <c r="F98" s="45">
        <v>2</v>
      </c>
      <c r="G98" s="46">
        <v>0.66</v>
      </c>
      <c r="H98" s="47">
        <f t="shared" si="7"/>
        <v>1.32</v>
      </c>
      <c r="I98" s="39" t="s">
        <v>242</v>
      </c>
      <c r="J98" s="41"/>
    </row>
    <row r="99" spans="1:10" ht="14.65" customHeight="1" x14ac:dyDescent="0.25">
      <c r="A99" s="23">
        <f t="shared" si="6"/>
        <v>96</v>
      </c>
      <c r="B99" s="26"/>
      <c r="C99" s="38" t="s">
        <v>246</v>
      </c>
      <c r="D99" s="38" t="s">
        <v>247</v>
      </c>
      <c r="E99" s="38" t="s">
        <v>199</v>
      </c>
      <c r="F99" s="45">
        <v>16</v>
      </c>
      <c r="G99" s="46">
        <v>7.0000000000000007E-2</v>
      </c>
      <c r="H99" s="47">
        <f>F99*G99</f>
        <v>1.1200000000000001</v>
      </c>
      <c r="I99" s="52" t="s">
        <v>248</v>
      </c>
      <c r="J99" s="41"/>
    </row>
    <row r="100" spans="1:10" ht="14.65" customHeight="1" x14ac:dyDescent="0.25">
      <c r="A100" s="23">
        <f t="shared" si="6"/>
        <v>97</v>
      </c>
      <c r="B100" s="26"/>
      <c r="C100" s="38" t="s">
        <v>252</v>
      </c>
      <c r="D100" s="38" t="s">
        <v>253</v>
      </c>
      <c r="E100" s="38" t="s">
        <v>199</v>
      </c>
      <c r="F100" s="45">
        <v>16</v>
      </c>
      <c r="G100" s="46">
        <v>7.0000000000000007E-2</v>
      </c>
      <c r="H100" s="47">
        <f t="shared" ref="H100:H102" si="8">F100*G100</f>
        <v>1.1200000000000001</v>
      </c>
      <c r="I100" s="52" t="s">
        <v>254</v>
      </c>
      <c r="J100" s="41"/>
    </row>
    <row r="101" spans="1:10" ht="14.65" customHeight="1" x14ac:dyDescent="0.25">
      <c r="A101" s="23">
        <f t="shared" si="6"/>
        <v>98</v>
      </c>
      <c r="B101" s="26"/>
      <c r="C101" s="38" t="s">
        <v>264</v>
      </c>
      <c r="D101" s="38" t="s">
        <v>265</v>
      </c>
      <c r="E101" s="38" t="s">
        <v>199</v>
      </c>
      <c r="F101" s="45">
        <v>10</v>
      </c>
      <c r="G101" s="46">
        <v>0.1</v>
      </c>
      <c r="H101" s="47">
        <f t="shared" si="8"/>
        <v>1</v>
      </c>
      <c r="I101" s="52" t="s">
        <v>266</v>
      </c>
      <c r="J101" s="41"/>
    </row>
    <row r="102" spans="1:10" ht="14.65" customHeight="1" x14ac:dyDescent="0.25">
      <c r="A102" s="23">
        <f t="shared" si="6"/>
        <v>99</v>
      </c>
      <c r="B102" s="26"/>
      <c r="C102" s="38" t="s">
        <v>272</v>
      </c>
      <c r="D102" s="38" t="s">
        <v>273</v>
      </c>
      <c r="E102" s="38" t="s">
        <v>199</v>
      </c>
      <c r="F102" s="45">
        <v>28</v>
      </c>
      <c r="G102" s="46">
        <v>0.14000000000000001</v>
      </c>
      <c r="H102" s="47">
        <f t="shared" si="8"/>
        <v>3.9200000000000004</v>
      </c>
      <c r="I102" s="52" t="s">
        <v>274</v>
      </c>
      <c r="J102" s="41"/>
    </row>
    <row r="103" spans="1:10" ht="14.65" customHeight="1" x14ac:dyDescent="0.25">
      <c r="A103" s="23">
        <f t="shared" ref="A103:A139" si="9">ROW()-3</f>
        <v>100</v>
      </c>
      <c r="B103" s="26"/>
      <c r="C103" s="38" t="s">
        <v>281</v>
      </c>
      <c r="D103" s="38" t="s">
        <v>282</v>
      </c>
      <c r="E103" s="38" t="s">
        <v>199</v>
      </c>
      <c r="F103" s="45">
        <v>8</v>
      </c>
      <c r="G103" s="46">
        <v>0.46</v>
      </c>
      <c r="H103" s="47">
        <f t="shared" ref="H103:H139" si="10">F103*G103</f>
        <v>3.68</v>
      </c>
      <c r="I103" s="53" t="s">
        <v>283</v>
      </c>
      <c r="J103" s="41"/>
    </row>
    <row r="104" spans="1:10" ht="14.65" customHeight="1" x14ac:dyDescent="0.25">
      <c r="A104" s="23">
        <f t="shared" si="9"/>
        <v>101</v>
      </c>
      <c r="B104" s="26"/>
      <c r="C104" s="38" t="s">
        <v>284</v>
      </c>
      <c r="D104" s="38" t="s">
        <v>285</v>
      </c>
      <c r="E104" s="38" t="s">
        <v>199</v>
      </c>
      <c r="F104" s="45">
        <v>20</v>
      </c>
      <c r="G104" s="46">
        <v>0.3</v>
      </c>
      <c r="H104" s="47">
        <f t="shared" si="10"/>
        <v>6</v>
      </c>
      <c r="I104" s="52" t="s">
        <v>286</v>
      </c>
      <c r="J104" s="41"/>
    </row>
    <row r="105" spans="1:10" ht="14.65" customHeight="1" x14ac:dyDescent="0.25">
      <c r="A105" s="23">
        <f t="shared" si="9"/>
        <v>102</v>
      </c>
      <c r="B105" s="26"/>
      <c r="C105" s="38" t="s">
        <v>293</v>
      </c>
      <c r="D105" s="38" t="s">
        <v>294</v>
      </c>
      <c r="E105" s="38" t="s">
        <v>199</v>
      </c>
      <c r="F105" s="45">
        <v>8</v>
      </c>
      <c r="G105" s="46">
        <v>0.4</v>
      </c>
      <c r="H105" s="47">
        <f t="shared" si="10"/>
        <v>3.2</v>
      </c>
      <c r="I105" s="50" t="s">
        <v>295</v>
      </c>
      <c r="J105" s="41"/>
    </row>
    <row r="106" spans="1:10" ht="14.65" customHeight="1" x14ac:dyDescent="0.25">
      <c r="A106" s="23">
        <f t="shared" si="9"/>
        <v>103</v>
      </c>
      <c r="B106" s="26"/>
      <c r="C106" s="38" t="s">
        <v>296</v>
      </c>
      <c r="D106" s="38" t="s">
        <v>297</v>
      </c>
      <c r="E106" s="38" t="s">
        <v>199</v>
      </c>
      <c r="F106" s="45">
        <v>17</v>
      </c>
      <c r="G106" s="46">
        <v>0.33</v>
      </c>
      <c r="H106" s="47">
        <f t="shared" si="10"/>
        <v>5.61</v>
      </c>
      <c r="I106" s="50" t="s">
        <v>298</v>
      </c>
      <c r="J106" s="41"/>
    </row>
    <row r="107" spans="1:10" ht="14.65" customHeight="1" x14ac:dyDescent="0.25">
      <c r="A107" s="23">
        <f t="shared" si="9"/>
        <v>104</v>
      </c>
      <c r="B107" s="26"/>
      <c r="C107" s="38" t="s">
        <v>299</v>
      </c>
      <c r="D107" s="38" t="s">
        <v>300</v>
      </c>
      <c r="E107" s="38" t="s">
        <v>199</v>
      </c>
      <c r="F107" s="45">
        <v>18</v>
      </c>
      <c r="G107" s="46">
        <v>0.53</v>
      </c>
      <c r="H107" s="47">
        <f t="shared" si="10"/>
        <v>9.5400000000000009</v>
      </c>
      <c r="I107" s="50" t="s">
        <v>301</v>
      </c>
      <c r="J107" s="41"/>
    </row>
    <row r="108" spans="1:10" ht="14.65" customHeight="1" x14ac:dyDescent="0.25">
      <c r="A108" s="23">
        <f t="shared" si="9"/>
        <v>105</v>
      </c>
      <c r="B108" s="26"/>
      <c r="C108" s="38" t="s">
        <v>302</v>
      </c>
      <c r="D108" s="38" t="s">
        <v>303</v>
      </c>
      <c r="E108" s="38" t="s">
        <v>199</v>
      </c>
      <c r="F108" s="45">
        <v>14</v>
      </c>
      <c r="G108" s="46">
        <v>0.6</v>
      </c>
      <c r="H108" s="47">
        <f t="shared" si="10"/>
        <v>8.4</v>
      </c>
      <c r="I108" s="50" t="s">
        <v>304</v>
      </c>
      <c r="J108" s="41"/>
    </row>
    <row r="109" spans="1:10" ht="14.65" customHeight="1" x14ac:dyDescent="0.25">
      <c r="A109" s="23">
        <f t="shared" si="9"/>
        <v>106</v>
      </c>
      <c r="B109" s="26"/>
      <c r="C109" s="69" t="s">
        <v>451</v>
      </c>
      <c r="D109" s="69" t="s">
        <v>452</v>
      </c>
      <c r="E109" s="69" t="s">
        <v>199</v>
      </c>
      <c r="F109" s="45">
        <v>6</v>
      </c>
      <c r="G109" s="46">
        <v>0.33</v>
      </c>
      <c r="H109" s="47">
        <f t="shared" si="10"/>
        <v>1.98</v>
      </c>
      <c r="I109" s="70" t="s">
        <v>453</v>
      </c>
      <c r="J109" s="41"/>
    </row>
    <row r="110" spans="1:10" ht="14.65" customHeight="1" x14ac:dyDescent="0.25">
      <c r="A110" s="23">
        <f t="shared" si="9"/>
        <v>107</v>
      </c>
      <c r="B110" s="26"/>
      <c r="C110" s="38" t="s">
        <v>305</v>
      </c>
      <c r="D110" s="38" t="s">
        <v>306</v>
      </c>
      <c r="E110" s="38" t="s">
        <v>199</v>
      </c>
      <c r="F110" s="45">
        <v>4</v>
      </c>
      <c r="G110" s="46">
        <v>0.56999999999999995</v>
      </c>
      <c r="H110" s="47">
        <f t="shared" si="10"/>
        <v>2.2799999999999998</v>
      </c>
      <c r="I110" s="50" t="s">
        <v>307</v>
      </c>
      <c r="J110" s="41"/>
    </row>
    <row r="111" spans="1:10" ht="14.65" customHeight="1" x14ac:dyDescent="0.25">
      <c r="A111" s="23">
        <f t="shared" si="9"/>
        <v>108</v>
      </c>
      <c r="B111" s="26"/>
      <c r="C111" s="38" t="s">
        <v>308</v>
      </c>
      <c r="D111" s="38" t="s">
        <v>309</v>
      </c>
      <c r="E111" s="38" t="s">
        <v>199</v>
      </c>
      <c r="F111" s="45">
        <v>5</v>
      </c>
      <c r="G111" s="46">
        <v>7.81</v>
      </c>
      <c r="H111" s="47">
        <f t="shared" si="10"/>
        <v>39.049999999999997</v>
      </c>
      <c r="I111" s="50" t="s">
        <v>310</v>
      </c>
      <c r="J111" s="41"/>
    </row>
    <row r="112" spans="1:10" ht="14.65" customHeight="1" x14ac:dyDescent="0.25">
      <c r="A112" s="23">
        <f t="shared" si="9"/>
        <v>109</v>
      </c>
      <c r="B112" s="26"/>
      <c r="C112" s="38" t="s">
        <v>311</v>
      </c>
      <c r="D112" s="38" t="s">
        <v>312</v>
      </c>
      <c r="E112" s="38" t="s">
        <v>199</v>
      </c>
      <c r="F112" s="45">
        <v>32</v>
      </c>
      <c r="G112" s="46">
        <v>0.1</v>
      </c>
      <c r="H112" s="47">
        <f t="shared" si="10"/>
        <v>3.2</v>
      </c>
      <c r="I112" s="50" t="s">
        <v>313</v>
      </c>
      <c r="J112" s="41"/>
    </row>
    <row r="113" spans="1:11" ht="14.65" customHeight="1" x14ac:dyDescent="0.25">
      <c r="A113" s="23">
        <f t="shared" si="9"/>
        <v>110</v>
      </c>
      <c r="B113" s="26"/>
      <c r="C113" s="38" t="s">
        <v>320</v>
      </c>
      <c r="D113" s="38" t="s">
        <v>321</v>
      </c>
      <c r="E113" s="38" t="s">
        <v>199</v>
      </c>
      <c r="F113" s="45">
        <v>6</v>
      </c>
      <c r="G113" s="46">
        <v>0.21</v>
      </c>
      <c r="H113" s="47">
        <f t="shared" si="10"/>
        <v>1.26</v>
      </c>
      <c r="I113" s="50" t="s">
        <v>322</v>
      </c>
      <c r="J113" s="41"/>
    </row>
    <row r="114" spans="1:11" ht="14.65" customHeight="1" x14ac:dyDescent="0.25">
      <c r="A114" s="23">
        <f t="shared" si="9"/>
        <v>111</v>
      </c>
      <c r="B114" s="26"/>
      <c r="C114" s="38" t="s">
        <v>329</v>
      </c>
      <c r="D114" s="38" t="s">
        <v>330</v>
      </c>
      <c r="E114" s="38" t="s">
        <v>199</v>
      </c>
      <c r="F114" s="45">
        <v>1</v>
      </c>
      <c r="G114" s="46">
        <v>15.9</v>
      </c>
      <c r="H114" s="47">
        <f t="shared" si="10"/>
        <v>15.9</v>
      </c>
      <c r="I114" s="50" t="s">
        <v>331</v>
      </c>
      <c r="J114" s="41"/>
    </row>
    <row r="115" spans="1:11" ht="14.65" customHeight="1" x14ac:dyDescent="0.25">
      <c r="A115" s="23">
        <f t="shared" si="9"/>
        <v>112</v>
      </c>
      <c r="B115" s="26"/>
      <c r="C115" s="71" t="s">
        <v>454</v>
      </c>
      <c r="D115" s="71" t="s">
        <v>455</v>
      </c>
      <c r="E115" s="38" t="s">
        <v>199</v>
      </c>
      <c r="F115" s="45">
        <v>4</v>
      </c>
      <c r="G115" s="77">
        <v>14.57</v>
      </c>
      <c r="H115" s="47">
        <f t="shared" si="10"/>
        <v>58.28</v>
      </c>
      <c r="I115" s="50" t="s">
        <v>456</v>
      </c>
      <c r="J115" s="41"/>
    </row>
    <row r="116" spans="1:11" ht="14.65" customHeight="1" x14ac:dyDescent="0.25">
      <c r="A116" s="23">
        <f t="shared" si="9"/>
        <v>113</v>
      </c>
      <c r="B116" s="26"/>
      <c r="C116" s="38" t="s">
        <v>338</v>
      </c>
      <c r="D116" s="38" t="s">
        <v>339</v>
      </c>
      <c r="E116" s="38" t="s">
        <v>199</v>
      </c>
      <c r="F116" s="45">
        <v>4</v>
      </c>
      <c r="G116" s="46">
        <v>4.54</v>
      </c>
      <c r="H116" s="47">
        <f t="shared" si="10"/>
        <v>18.16</v>
      </c>
      <c r="I116" s="50" t="s">
        <v>340</v>
      </c>
      <c r="J116" s="41"/>
    </row>
    <row r="117" spans="1:11" ht="14.65" customHeight="1" x14ac:dyDescent="0.25">
      <c r="A117" s="23">
        <f t="shared" si="9"/>
        <v>114</v>
      </c>
      <c r="B117" s="26"/>
      <c r="C117" s="38" t="s">
        <v>353</v>
      </c>
      <c r="D117" s="38" t="s">
        <v>354</v>
      </c>
      <c r="E117" s="38" t="s">
        <v>199</v>
      </c>
      <c r="F117" s="45">
        <v>5</v>
      </c>
      <c r="G117" s="46">
        <v>0.47</v>
      </c>
      <c r="H117" s="47">
        <f t="shared" si="10"/>
        <v>2.3499999999999996</v>
      </c>
      <c r="I117" s="50" t="s">
        <v>355</v>
      </c>
      <c r="J117" s="41"/>
    </row>
    <row r="118" spans="1:11" ht="14.65" customHeight="1" x14ac:dyDescent="0.25">
      <c r="A118" s="23">
        <f t="shared" si="9"/>
        <v>115</v>
      </c>
      <c r="B118" s="26"/>
      <c r="C118" s="38" t="s">
        <v>356</v>
      </c>
      <c r="D118" s="38" t="s">
        <v>357</v>
      </c>
      <c r="E118" s="38" t="s">
        <v>199</v>
      </c>
      <c r="F118" s="45">
        <v>4</v>
      </c>
      <c r="G118" s="46">
        <v>1.0900000000000001</v>
      </c>
      <c r="H118" s="47">
        <f t="shared" si="10"/>
        <v>4.3600000000000003</v>
      </c>
      <c r="I118" s="50" t="s">
        <v>358</v>
      </c>
      <c r="J118" s="41"/>
    </row>
    <row r="119" spans="1:11" ht="14.65" customHeight="1" x14ac:dyDescent="0.25">
      <c r="A119" s="23">
        <f t="shared" si="9"/>
        <v>116</v>
      </c>
      <c r="B119" s="26"/>
      <c r="C119" s="38" t="s">
        <v>359</v>
      </c>
      <c r="D119" s="38" t="s">
        <v>360</v>
      </c>
      <c r="E119" s="38" t="s">
        <v>199</v>
      </c>
      <c r="F119" s="45">
        <v>10</v>
      </c>
      <c r="G119" s="46">
        <v>0.66</v>
      </c>
      <c r="H119" s="47">
        <f t="shared" si="10"/>
        <v>6.6000000000000005</v>
      </c>
      <c r="I119" s="50" t="s">
        <v>361</v>
      </c>
      <c r="J119" s="41"/>
    </row>
    <row r="120" spans="1:11" s="72" customFormat="1" ht="14.65" customHeight="1" x14ac:dyDescent="0.25">
      <c r="A120" s="80">
        <f t="shared" si="9"/>
        <v>117</v>
      </c>
      <c r="B120" s="81"/>
      <c r="C120" s="82" t="s">
        <v>457</v>
      </c>
      <c r="D120" s="82" t="s">
        <v>458</v>
      </c>
      <c r="E120" s="82" t="s">
        <v>199</v>
      </c>
      <c r="F120" s="84">
        <v>16</v>
      </c>
      <c r="G120" s="85">
        <v>0.86</v>
      </c>
      <c r="H120" s="86">
        <v>13.76</v>
      </c>
      <c r="I120" s="87" t="s">
        <v>459</v>
      </c>
      <c r="J120" s="83"/>
    </row>
    <row r="121" spans="1:11" ht="14.65" customHeight="1" x14ac:dyDescent="0.25">
      <c r="A121" s="80">
        <f t="shared" si="9"/>
        <v>118</v>
      </c>
      <c r="B121" s="73"/>
      <c r="C121" s="74" t="s">
        <v>362</v>
      </c>
      <c r="D121" s="74" t="s">
        <v>363</v>
      </c>
      <c r="E121" s="74" t="s">
        <v>364</v>
      </c>
      <c r="F121" s="76">
        <v>1</v>
      </c>
      <c r="G121" s="77">
        <v>656</v>
      </c>
      <c r="H121" s="78">
        <f t="shared" si="10"/>
        <v>656</v>
      </c>
      <c r="I121" s="79" t="s">
        <v>365</v>
      </c>
      <c r="J121" s="75"/>
      <c r="K121" s="72"/>
    </row>
    <row r="122" spans="1:11" ht="14.65" customHeight="1" x14ac:dyDescent="0.25">
      <c r="A122" s="23">
        <f t="shared" si="9"/>
        <v>119</v>
      </c>
      <c r="B122" s="26"/>
      <c r="C122" s="38" t="s">
        <v>366</v>
      </c>
      <c r="D122" s="38" t="s">
        <v>367</v>
      </c>
      <c r="E122" s="38" t="s">
        <v>368</v>
      </c>
      <c r="F122" s="45">
        <v>4</v>
      </c>
      <c r="G122" s="46">
        <v>695</v>
      </c>
      <c r="H122" s="47">
        <f t="shared" si="10"/>
        <v>2780</v>
      </c>
      <c r="I122" s="50" t="s">
        <v>416</v>
      </c>
      <c r="J122" s="41"/>
    </row>
    <row r="123" spans="1:11" ht="14.65" customHeight="1" x14ac:dyDescent="0.25">
      <c r="A123" s="23">
        <f t="shared" si="9"/>
        <v>120</v>
      </c>
      <c r="B123" s="26"/>
      <c r="C123" s="38" t="s">
        <v>369</v>
      </c>
      <c r="D123" s="38" t="s">
        <v>370</v>
      </c>
      <c r="E123" s="38" t="s">
        <v>368</v>
      </c>
      <c r="F123" s="45">
        <v>4</v>
      </c>
      <c r="G123" s="46">
        <v>695</v>
      </c>
      <c r="H123" s="47">
        <f t="shared" si="10"/>
        <v>2780</v>
      </c>
      <c r="I123" s="50" t="s">
        <v>416</v>
      </c>
      <c r="J123" s="41"/>
    </row>
    <row r="124" spans="1:11" ht="14.65" customHeight="1" x14ac:dyDescent="0.25">
      <c r="A124" s="23">
        <f t="shared" si="9"/>
        <v>121</v>
      </c>
      <c r="B124" s="26"/>
      <c r="C124" s="38" t="s">
        <v>371</v>
      </c>
      <c r="D124" s="38" t="s">
        <v>372</v>
      </c>
      <c r="E124" s="38" t="s">
        <v>373</v>
      </c>
      <c r="F124" s="45">
        <v>5</v>
      </c>
      <c r="G124" s="46">
        <v>10.95</v>
      </c>
      <c r="H124" s="47">
        <f t="shared" si="10"/>
        <v>54.75</v>
      </c>
      <c r="I124" s="50" t="s">
        <v>374</v>
      </c>
      <c r="J124" s="41"/>
    </row>
    <row r="125" spans="1:11" ht="14.65" customHeight="1" x14ac:dyDescent="0.25">
      <c r="A125" s="23">
        <f t="shared" si="9"/>
        <v>122</v>
      </c>
      <c r="B125" s="26"/>
      <c r="C125" s="38" t="s">
        <v>375</v>
      </c>
      <c r="D125" s="38" t="s">
        <v>376</v>
      </c>
      <c r="E125" s="38" t="s">
        <v>377</v>
      </c>
      <c r="F125" s="45">
        <v>1</v>
      </c>
      <c r="G125" s="46">
        <v>16250</v>
      </c>
      <c r="H125" s="47">
        <f t="shared" si="10"/>
        <v>16250</v>
      </c>
      <c r="I125" s="50" t="s">
        <v>378</v>
      </c>
      <c r="J125" s="41"/>
    </row>
    <row r="126" spans="1:11" ht="14.65" customHeight="1" x14ac:dyDescent="0.25">
      <c r="A126" s="23">
        <f t="shared" si="6"/>
        <v>123</v>
      </c>
      <c r="B126" s="26"/>
      <c r="C126" s="38" t="s">
        <v>183</v>
      </c>
      <c r="D126" s="38" t="s">
        <v>464</v>
      </c>
      <c r="E126" s="38" t="s">
        <v>465</v>
      </c>
      <c r="F126" s="45">
        <v>4</v>
      </c>
      <c r="G126" s="46">
        <v>214</v>
      </c>
      <c r="H126" s="47">
        <f>F126*G126</f>
        <v>856</v>
      </c>
      <c r="I126" s="39" t="s">
        <v>466</v>
      </c>
      <c r="J126" s="41"/>
    </row>
    <row r="127" spans="1:11" ht="14.65" customHeight="1" x14ac:dyDescent="0.25">
      <c r="A127" s="23">
        <f t="shared" si="6"/>
        <v>124</v>
      </c>
      <c r="B127" s="26"/>
      <c r="C127" s="38" t="s">
        <v>184</v>
      </c>
      <c r="D127" s="38" t="s">
        <v>467</v>
      </c>
      <c r="E127" s="38" t="s">
        <v>465</v>
      </c>
      <c r="F127" s="45">
        <v>1</v>
      </c>
      <c r="G127" s="46">
        <v>450</v>
      </c>
      <c r="H127" s="47">
        <f>F127*G127</f>
        <v>450</v>
      </c>
      <c r="I127" s="39" t="s">
        <v>466</v>
      </c>
      <c r="J127" s="41"/>
    </row>
    <row r="128" spans="1:11" ht="14.65" customHeight="1" x14ac:dyDescent="0.25">
      <c r="A128" s="23">
        <f t="shared" si="9"/>
        <v>125</v>
      </c>
      <c r="B128" s="26"/>
      <c r="C128" s="38" t="s">
        <v>425</v>
      </c>
      <c r="D128" s="38" t="s">
        <v>424</v>
      </c>
      <c r="E128" s="38" t="s">
        <v>423</v>
      </c>
      <c r="F128" s="45">
        <v>2</v>
      </c>
      <c r="G128" s="46">
        <v>0.55000000000000004</v>
      </c>
      <c r="H128" s="47">
        <f t="shared" si="10"/>
        <v>1.1000000000000001</v>
      </c>
      <c r="I128" s="50" t="s">
        <v>426</v>
      </c>
      <c r="J128" s="41"/>
    </row>
    <row r="129" spans="1:10" ht="14.65" customHeight="1" x14ac:dyDescent="0.25">
      <c r="A129" s="23">
        <f t="shared" si="9"/>
        <v>126</v>
      </c>
      <c r="B129" s="26"/>
      <c r="C129" s="38" t="s">
        <v>379</v>
      </c>
      <c r="D129" s="38" t="s">
        <v>380</v>
      </c>
      <c r="E129" s="38" t="s">
        <v>381</v>
      </c>
      <c r="F129" s="45">
        <v>2</v>
      </c>
      <c r="G129" s="46">
        <v>54.83</v>
      </c>
      <c r="H129" s="47">
        <f t="shared" si="10"/>
        <v>109.66</v>
      </c>
      <c r="I129" s="50" t="s">
        <v>382</v>
      </c>
      <c r="J129" s="41"/>
    </row>
    <row r="130" spans="1:10" ht="14.65" customHeight="1" x14ac:dyDescent="0.25">
      <c r="A130" s="23">
        <f t="shared" si="9"/>
        <v>127</v>
      </c>
      <c r="B130" s="26"/>
      <c r="C130" s="38" t="s">
        <v>383</v>
      </c>
      <c r="D130" s="38" t="s">
        <v>384</v>
      </c>
      <c r="E130" s="38" t="s">
        <v>385</v>
      </c>
      <c r="F130" s="45">
        <v>2</v>
      </c>
      <c r="G130" s="46">
        <v>135.25</v>
      </c>
      <c r="H130" s="47">
        <f t="shared" si="10"/>
        <v>270.5</v>
      </c>
      <c r="I130" s="50" t="s">
        <v>386</v>
      </c>
      <c r="J130" s="41"/>
    </row>
    <row r="131" spans="1:10" ht="14.65" customHeight="1" x14ac:dyDescent="0.25">
      <c r="A131" s="23">
        <f t="shared" si="9"/>
        <v>128</v>
      </c>
      <c r="B131" s="26"/>
      <c r="C131" s="38" t="s">
        <v>429</v>
      </c>
      <c r="D131" s="38" t="s">
        <v>427</v>
      </c>
      <c r="E131" s="38" t="s">
        <v>385</v>
      </c>
      <c r="F131" s="45">
        <v>3</v>
      </c>
      <c r="G131" s="46">
        <v>171.15</v>
      </c>
      <c r="H131" s="47">
        <f t="shared" si="10"/>
        <v>513.45000000000005</v>
      </c>
      <c r="I131" s="50" t="s">
        <v>428</v>
      </c>
      <c r="J131" s="41"/>
    </row>
    <row r="132" spans="1:10" ht="14.65" customHeight="1" x14ac:dyDescent="0.25">
      <c r="A132" s="23">
        <f t="shared" si="9"/>
        <v>129</v>
      </c>
      <c r="B132" s="26"/>
      <c r="C132" s="38" t="s">
        <v>387</v>
      </c>
      <c r="D132" s="38" t="s">
        <v>388</v>
      </c>
      <c r="E132" s="38" t="s">
        <v>389</v>
      </c>
      <c r="F132" s="45">
        <v>2</v>
      </c>
      <c r="G132" s="46">
        <v>1963</v>
      </c>
      <c r="H132" s="47">
        <f t="shared" si="10"/>
        <v>3926</v>
      </c>
      <c r="I132" s="50" t="s">
        <v>390</v>
      </c>
      <c r="J132" s="41"/>
    </row>
    <row r="133" spans="1:10" ht="14.65" customHeight="1" x14ac:dyDescent="0.25">
      <c r="A133" s="23">
        <f t="shared" si="9"/>
        <v>130</v>
      </c>
      <c r="B133" s="26"/>
      <c r="C133" s="38" t="s">
        <v>391</v>
      </c>
      <c r="D133" s="38">
        <v>129086</v>
      </c>
      <c r="E133" s="38" t="s">
        <v>392</v>
      </c>
      <c r="F133" s="45">
        <v>1</v>
      </c>
      <c r="G133" s="46">
        <v>800</v>
      </c>
      <c r="H133" s="47">
        <f t="shared" si="10"/>
        <v>800</v>
      </c>
      <c r="I133" s="50" t="s">
        <v>393</v>
      </c>
      <c r="J133" s="41"/>
    </row>
    <row r="134" spans="1:10" ht="14.65" customHeight="1" x14ac:dyDescent="0.25">
      <c r="A134" s="23">
        <f t="shared" si="9"/>
        <v>131</v>
      </c>
      <c r="B134" s="26"/>
      <c r="C134" s="38" t="s">
        <v>394</v>
      </c>
      <c r="D134" s="68">
        <v>696121101001</v>
      </c>
      <c r="E134" s="38" t="s">
        <v>395</v>
      </c>
      <c r="F134" s="45">
        <v>4</v>
      </c>
      <c r="G134" s="46">
        <v>1.03</v>
      </c>
      <c r="H134" s="47">
        <f t="shared" si="10"/>
        <v>4.12</v>
      </c>
      <c r="I134" s="50" t="s">
        <v>396</v>
      </c>
      <c r="J134" s="41"/>
    </row>
    <row r="135" spans="1:10" ht="14.65" customHeight="1" x14ac:dyDescent="0.25">
      <c r="A135" s="23">
        <f t="shared" si="9"/>
        <v>132</v>
      </c>
      <c r="B135" s="26"/>
      <c r="C135" s="38" t="s">
        <v>397</v>
      </c>
      <c r="D135" s="38" t="s">
        <v>398</v>
      </c>
      <c r="E135" s="38" t="s">
        <v>399</v>
      </c>
      <c r="F135" s="45">
        <v>1</v>
      </c>
      <c r="G135" s="46">
        <v>579.05999999999995</v>
      </c>
      <c r="H135" s="47">
        <f t="shared" si="10"/>
        <v>579.05999999999995</v>
      </c>
      <c r="I135" s="50" t="s">
        <v>400</v>
      </c>
      <c r="J135" s="41"/>
    </row>
    <row r="136" spans="1:10" ht="14.65" customHeight="1" x14ac:dyDescent="0.25">
      <c r="A136" s="24">
        <f t="shared" si="9"/>
        <v>133</v>
      </c>
      <c r="B136" s="15"/>
      <c r="C136" s="36" t="s">
        <v>420</v>
      </c>
      <c r="D136" s="37" t="s">
        <v>421</v>
      </c>
      <c r="E136" s="37" t="s">
        <v>422</v>
      </c>
      <c r="F136" s="24">
        <v>1</v>
      </c>
      <c r="G136" s="59">
        <v>3.96</v>
      </c>
      <c r="H136" s="60">
        <f t="shared" ref="H136" si="11">F136*G136</f>
        <v>3.96</v>
      </c>
      <c r="I136" s="37" t="s">
        <v>435</v>
      </c>
      <c r="J136" s="25"/>
    </row>
    <row r="137" spans="1:10" ht="14.65" customHeight="1" x14ac:dyDescent="0.25">
      <c r="A137" s="24">
        <f t="shared" si="9"/>
        <v>134</v>
      </c>
      <c r="B137" s="15"/>
      <c r="C137" s="36" t="s">
        <v>197</v>
      </c>
      <c r="D137" s="37" t="s">
        <v>198</v>
      </c>
      <c r="E137" s="37" t="s">
        <v>199</v>
      </c>
      <c r="F137" s="24">
        <v>1</v>
      </c>
      <c r="G137" s="48">
        <v>40.42</v>
      </c>
      <c r="H137" s="49">
        <f>F137*G137</f>
        <v>40.42</v>
      </c>
      <c r="I137" s="40" t="s">
        <v>200</v>
      </c>
      <c r="J137" s="25"/>
    </row>
    <row r="138" spans="1:10" ht="14.65" customHeight="1" x14ac:dyDescent="0.25">
      <c r="A138" s="24">
        <f t="shared" si="9"/>
        <v>135</v>
      </c>
      <c r="B138" s="15"/>
      <c r="C138" s="36" t="s">
        <v>213</v>
      </c>
      <c r="D138" s="37" t="s">
        <v>214</v>
      </c>
      <c r="E138" s="37" t="s">
        <v>199</v>
      </c>
      <c r="F138" s="24">
        <v>1</v>
      </c>
      <c r="G138" s="48">
        <v>2.44</v>
      </c>
      <c r="H138" s="49">
        <f t="shared" si="10"/>
        <v>2.44</v>
      </c>
      <c r="I138" s="40" t="s">
        <v>215</v>
      </c>
      <c r="J138" s="25"/>
    </row>
    <row r="139" spans="1:10" ht="14.65" customHeight="1" x14ac:dyDescent="0.25">
      <c r="A139" s="24">
        <f t="shared" si="9"/>
        <v>136</v>
      </c>
      <c r="B139" s="15"/>
      <c r="C139" s="36" t="s">
        <v>228</v>
      </c>
      <c r="D139" s="37" t="s">
        <v>229</v>
      </c>
      <c r="E139" s="37" t="s">
        <v>199</v>
      </c>
      <c r="F139" s="24">
        <v>4</v>
      </c>
      <c r="G139" s="48">
        <v>0.1</v>
      </c>
      <c r="H139" s="49">
        <f t="shared" si="10"/>
        <v>0.4</v>
      </c>
      <c r="I139" s="40" t="s">
        <v>230</v>
      </c>
      <c r="J139" s="25"/>
    </row>
    <row r="140" spans="1:10" ht="14.65" customHeight="1" x14ac:dyDescent="0.25">
      <c r="A140" s="24">
        <f t="shared" ref="A140:A162" si="12">ROW()-3</f>
        <v>137</v>
      </c>
      <c r="B140" s="15"/>
      <c r="C140" s="36" t="s">
        <v>231</v>
      </c>
      <c r="D140" s="37" t="s">
        <v>232</v>
      </c>
      <c r="E140" s="37" t="s">
        <v>199</v>
      </c>
      <c r="F140" s="24">
        <v>4</v>
      </c>
      <c r="G140" s="48">
        <v>0.15</v>
      </c>
      <c r="H140" s="49">
        <f t="shared" ref="H140:H162" si="13">F140*G140</f>
        <v>0.6</v>
      </c>
      <c r="I140" s="40" t="s">
        <v>233</v>
      </c>
      <c r="J140" s="25"/>
    </row>
    <row r="141" spans="1:10" ht="14.65" customHeight="1" x14ac:dyDescent="0.25">
      <c r="A141" s="24">
        <f t="shared" si="12"/>
        <v>138</v>
      </c>
      <c r="B141" s="15"/>
      <c r="C141" s="36" t="s">
        <v>234</v>
      </c>
      <c r="D141" s="37" t="s">
        <v>235</v>
      </c>
      <c r="E141" s="37" t="s">
        <v>199</v>
      </c>
      <c r="F141" s="24">
        <v>8</v>
      </c>
      <c r="G141" s="48">
        <v>0.28999999999999998</v>
      </c>
      <c r="H141" s="49">
        <f t="shared" si="13"/>
        <v>2.3199999999999998</v>
      </c>
      <c r="I141" s="40" t="s">
        <v>236</v>
      </c>
      <c r="J141" s="25"/>
    </row>
    <row r="142" spans="1:10" ht="14.65" customHeight="1" x14ac:dyDescent="0.25">
      <c r="A142" s="24">
        <f t="shared" si="12"/>
        <v>139</v>
      </c>
      <c r="B142" s="15"/>
      <c r="C142" s="36" t="s">
        <v>243</v>
      </c>
      <c r="D142" s="37" t="s">
        <v>244</v>
      </c>
      <c r="E142" s="37" t="s">
        <v>199</v>
      </c>
      <c r="F142" s="24">
        <v>4</v>
      </c>
      <c r="G142" s="48">
        <v>0.05</v>
      </c>
      <c r="H142" s="49">
        <f t="shared" si="13"/>
        <v>0.2</v>
      </c>
      <c r="I142" s="40" t="s">
        <v>245</v>
      </c>
      <c r="J142" s="25"/>
    </row>
    <row r="143" spans="1:10" ht="14.65" customHeight="1" x14ac:dyDescent="0.25">
      <c r="A143" s="24">
        <f t="shared" si="12"/>
        <v>140</v>
      </c>
      <c r="B143" s="15"/>
      <c r="C143" s="36" t="s">
        <v>249</v>
      </c>
      <c r="D143" s="37" t="s">
        <v>250</v>
      </c>
      <c r="E143" s="37" t="s">
        <v>199</v>
      </c>
      <c r="F143" s="24">
        <v>74</v>
      </c>
      <c r="G143" s="48">
        <v>7.0000000000000007E-2</v>
      </c>
      <c r="H143" s="49">
        <f>F143*G143</f>
        <v>5.1800000000000006</v>
      </c>
      <c r="I143" s="48" t="s">
        <v>251</v>
      </c>
      <c r="J143" s="25"/>
    </row>
    <row r="144" spans="1:10" ht="14.65" customHeight="1" x14ac:dyDescent="0.25">
      <c r="A144" s="24">
        <f t="shared" si="12"/>
        <v>141</v>
      </c>
      <c r="B144" s="15"/>
      <c r="C144" s="36" t="s">
        <v>255</v>
      </c>
      <c r="D144" s="37" t="s">
        <v>256</v>
      </c>
      <c r="E144" s="37" t="s">
        <v>199</v>
      </c>
      <c r="F144" s="24">
        <v>16</v>
      </c>
      <c r="G144" s="48">
        <v>0.08</v>
      </c>
      <c r="H144" s="49">
        <f t="shared" ref="H144:H151" si="14">F144*G144</f>
        <v>1.28</v>
      </c>
      <c r="I144" s="48" t="s">
        <v>257</v>
      </c>
      <c r="J144" s="25"/>
    </row>
    <row r="145" spans="1:10" ht="14.65" customHeight="1" x14ac:dyDescent="0.25">
      <c r="A145" s="24">
        <f t="shared" si="12"/>
        <v>142</v>
      </c>
      <c r="B145" s="15"/>
      <c r="C145" s="36" t="s">
        <v>258</v>
      </c>
      <c r="D145" s="37" t="s">
        <v>259</v>
      </c>
      <c r="E145" s="37" t="s">
        <v>199</v>
      </c>
      <c r="F145" s="24">
        <v>8</v>
      </c>
      <c r="G145" s="48">
        <v>0.09</v>
      </c>
      <c r="H145" s="49">
        <f t="shared" si="14"/>
        <v>0.72</v>
      </c>
      <c r="I145" s="48" t="s">
        <v>260</v>
      </c>
      <c r="J145" s="25"/>
    </row>
    <row r="146" spans="1:10" ht="14.65" customHeight="1" x14ac:dyDescent="0.25">
      <c r="A146" s="24">
        <f t="shared" si="12"/>
        <v>143</v>
      </c>
      <c r="B146" s="15"/>
      <c r="C146" s="36" t="s">
        <v>261</v>
      </c>
      <c r="D146" s="37" t="s">
        <v>262</v>
      </c>
      <c r="E146" s="37" t="s">
        <v>199</v>
      </c>
      <c r="F146" s="24">
        <v>1</v>
      </c>
      <c r="G146" s="48">
        <v>7.0000000000000007E-2</v>
      </c>
      <c r="H146" s="49">
        <f t="shared" si="14"/>
        <v>7.0000000000000007E-2</v>
      </c>
      <c r="I146" s="48" t="s">
        <v>263</v>
      </c>
      <c r="J146" s="25"/>
    </row>
    <row r="147" spans="1:10" ht="14.65" customHeight="1" x14ac:dyDescent="0.25">
      <c r="A147" s="24">
        <f t="shared" si="12"/>
        <v>144</v>
      </c>
      <c r="B147" s="15"/>
      <c r="C147" s="36" t="s">
        <v>267</v>
      </c>
      <c r="D147" s="37" t="s">
        <v>268</v>
      </c>
      <c r="E147" s="37" t="s">
        <v>199</v>
      </c>
      <c r="F147" s="24">
        <v>2</v>
      </c>
      <c r="G147" s="48">
        <v>0.1</v>
      </c>
      <c r="H147" s="49">
        <f t="shared" si="14"/>
        <v>0.2</v>
      </c>
      <c r="I147" s="48" t="s">
        <v>266</v>
      </c>
      <c r="J147" s="25"/>
    </row>
    <row r="148" spans="1:10" ht="14.65" customHeight="1" x14ac:dyDescent="0.25">
      <c r="A148" s="24">
        <f t="shared" si="12"/>
        <v>145</v>
      </c>
      <c r="B148" s="15"/>
      <c r="C148" s="36" t="s">
        <v>269</v>
      </c>
      <c r="D148" s="37" t="s">
        <v>270</v>
      </c>
      <c r="E148" s="37" t="s">
        <v>199</v>
      </c>
      <c r="F148" s="24">
        <v>6</v>
      </c>
      <c r="G148" s="48">
        <v>0.15</v>
      </c>
      <c r="H148" s="49">
        <f t="shared" si="14"/>
        <v>0.89999999999999991</v>
      </c>
      <c r="I148" s="48" t="s">
        <v>271</v>
      </c>
      <c r="J148" s="25"/>
    </row>
    <row r="149" spans="1:10" ht="14.65" customHeight="1" x14ac:dyDescent="0.25">
      <c r="A149" s="24">
        <f t="shared" si="12"/>
        <v>146</v>
      </c>
      <c r="B149" s="15"/>
      <c r="C149" s="36" t="s">
        <v>275</v>
      </c>
      <c r="D149" s="37" t="s">
        <v>276</v>
      </c>
      <c r="E149" s="37" t="s">
        <v>199</v>
      </c>
      <c r="F149" s="24">
        <v>4</v>
      </c>
      <c r="G149" s="48">
        <v>0.14000000000000001</v>
      </c>
      <c r="H149" s="49">
        <f t="shared" si="14"/>
        <v>0.56000000000000005</v>
      </c>
      <c r="I149" s="48" t="s">
        <v>277</v>
      </c>
      <c r="J149" s="25"/>
    </row>
    <row r="150" spans="1:10" ht="14.65" customHeight="1" x14ac:dyDescent="0.25">
      <c r="A150" s="24">
        <f t="shared" si="12"/>
        <v>147</v>
      </c>
      <c r="B150" s="15"/>
      <c r="C150" s="36" t="s">
        <v>278</v>
      </c>
      <c r="D150" s="37" t="s">
        <v>279</v>
      </c>
      <c r="E150" s="37" t="s">
        <v>199</v>
      </c>
      <c r="F150" s="24">
        <v>12</v>
      </c>
      <c r="G150" s="48">
        <v>0.21</v>
      </c>
      <c r="H150" s="49">
        <f t="shared" si="14"/>
        <v>2.52</v>
      </c>
      <c r="I150" s="48" t="s">
        <v>280</v>
      </c>
      <c r="J150" s="25"/>
    </row>
    <row r="151" spans="1:10" ht="14.65" customHeight="1" x14ac:dyDescent="0.25">
      <c r="A151" s="24">
        <f t="shared" si="12"/>
        <v>148</v>
      </c>
      <c r="B151" s="15"/>
      <c r="C151" s="36" t="s">
        <v>287</v>
      </c>
      <c r="D151" s="37" t="s">
        <v>288</v>
      </c>
      <c r="E151" s="37" t="s">
        <v>199</v>
      </c>
      <c r="F151" s="24">
        <v>13</v>
      </c>
      <c r="G151" s="48">
        <v>0.15</v>
      </c>
      <c r="H151" s="49">
        <f t="shared" si="14"/>
        <v>1.95</v>
      </c>
      <c r="I151" s="48" t="s">
        <v>289</v>
      </c>
      <c r="J151" s="25"/>
    </row>
    <row r="152" spans="1:10" ht="14.65" customHeight="1" x14ac:dyDescent="0.25">
      <c r="A152" s="24">
        <f t="shared" si="12"/>
        <v>149</v>
      </c>
      <c r="B152" s="15"/>
      <c r="C152" s="36" t="s">
        <v>290</v>
      </c>
      <c r="D152" s="37" t="s">
        <v>291</v>
      </c>
      <c r="E152" s="37" t="s">
        <v>199</v>
      </c>
      <c r="F152" s="24">
        <v>1</v>
      </c>
      <c r="G152" s="48">
        <v>42.82</v>
      </c>
      <c r="H152" s="49">
        <f t="shared" si="13"/>
        <v>42.82</v>
      </c>
      <c r="I152" s="51" t="s">
        <v>292</v>
      </c>
      <c r="J152" s="25"/>
    </row>
    <row r="153" spans="1:10" ht="14.65" customHeight="1" x14ac:dyDescent="0.25">
      <c r="A153" s="24">
        <f t="shared" si="12"/>
        <v>150</v>
      </c>
      <c r="B153" s="15"/>
      <c r="C153" s="36" t="s">
        <v>314</v>
      </c>
      <c r="D153" s="37" t="s">
        <v>315</v>
      </c>
      <c r="E153" s="37" t="s">
        <v>199</v>
      </c>
      <c r="F153" s="24">
        <v>10</v>
      </c>
      <c r="G153" s="48">
        <v>0.17</v>
      </c>
      <c r="H153" s="49">
        <f t="shared" si="13"/>
        <v>1.7000000000000002</v>
      </c>
      <c r="I153" s="51" t="s">
        <v>316</v>
      </c>
      <c r="J153" s="25"/>
    </row>
    <row r="154" spans="1:10" ht="14.65" customHeight="1" x14ac:dyDescent="0.25">
      <c r="A154" s="24">
        <f t="shared" si="12"/>
        <v>151</v>
      </c>
      <c r="B154" s="15"/>
      <c r="C154" s="36" t="s">
        <v>317</v>
      </c>
      <c r="D154" s="37" t="s">
        <v>318</v>
      </c>
      <c r="E154" s="37" t="s">
        <v>199</v>
      </c>
      <c r="F154" s="24">
        <v>20</v>
      </c>
      <c r="G154" s="48">
        <v>0.17</v>
      </c>
      <c r="H154" s="49">
        <f t="shared" si="13"/>
        <v>3.4000000000000004</v>
      </c>
      <c r="I154" s="51" t="s">
        <v>319</v>
      </c>
      <c r="J154" s="25"/>
    </row>
    <row r="155" spans="1:10" ht="14.65" customHeight="1" x14ac:dyDescent="0.25">
      <c r="A155" s="24">
        <f t="shared" si="12"/>
        <v>152</v>
      </c>
      <c r="B155" s="15"/>
      <c r="C155" s="36" t="s">
        <v>323</v>
      </c>
      <c r="D155" s="37" t="s">
        <v>324</v>
      </c>
      <c r="E155" s="37" t="s">
        <v>199</v>
      </c>
      <c r="F155" s="24">
        <v>15</v>
      </c>
      <c r="G155" s="48">
        <v>0.18</v>
      </c>
      <c r="H155" s="49">
        <f t="shared" si="13"/>
        <v>2.6999999999999997</v>
      </c>
      <c r="I155" s="51" t="s">
        <v>325</v>
      </c>
      <c r="J155" s="25"/>
    </row>
    <row r="156" spans="1:10" ht="14.65" customHeight="1" x14ac:dyDescent="0.25">
      <c r="A156" s="24">
        <f t="shared" si="12"/>
        <v>153</v>
      </c>
      <c r="B156" s="15"/>
      <c r="C156" s="36" t="s">
        <v>326</v>
      </c>
      <c r="D156" s="37" t="s">
        <v>327</v>
      </c>
      <c r="E156" s="37" t="s">
        <v>199</v>
      </c>
      <c r="F156" s="24">
        <v>8</v>
      </c>
      <c r="G156" s="48">
        <v>0.23</v>
      </c>
      <c r="H156" s="49">
        <f t="shared" si="13"/>
        <v>1.84</v>
      </c>
      <c r="I156" s="51" t="s">
        <v>328</v>
      </c>
      <c r="J156" s="25"/>
    </row>
    <row r="157" spans="1:10" ht="14.65" customHeight="1" x14ac:dyDescent="0.25">
      <c r="A157" s="24">
        <f t="shared" si="12"/>
        <v>154</v>
      </c>
      <c r="B157" s="15"/>
      <c r="C157" s="36" t="s">
        <v>332</v>
      </c>
      <c r="D157" s="37" t="s">
        <v>333</v>
      </c>
      <c r="E157" s="37" t="s">
        <v>199</v>
      </c>
      <c r="F157" s="24">
        <v>6</v>
      </c>
      <c r="G157" s="48">
        <v>0.57999999999999996</v>
      </c>
      <c r="H157" s="49">
        <f t="shared" si="13"/>
        <v>3.4799999999999995</v>
      </c>
      <c r="I157" s="51" t="s">
        <v>334</v>
      </c>
      <c r="J157" s="25"/>
    </row>
    <row r="158" spans="1:10" ht="14.65" customHeight="1" x14ac:dyDescent="0.25">
      <c r="A158" s="24">
        <f t="shared" si="12"/>
        <v>155</v>
      </c>
      <c r="B158" s="15"/>
      <c r="C158" s="36" t="s">
        <v>335</v>
      </c>
      <c r="D158" s="37" t="s">
        <v>336</v>
      </c>
      <c r="E158" s="37" t="s">
        <v>199</v>
      </c>
      <c r="F158" s="24">
        <v>6</v>
      </c>
      <c r="G158" s="48">
        <v>0.8</v>
      </c>
      <c r="H158" s="49">
        <f t="shared" si="13"/>
        <v>4.8000000000000007</v>
      </c>
      <c r="I158" s="51" t="s">
        <v>337</v>
      </c>
      <c r="J158" s="25"/>
    </row>
    <row r="159" spans="1:10" ht="14.65" customHeight="1" x14ac:dyDescent="0.25">
      <c r="A159" s="24">
        <f t="shared" si="12"/>
        <v>156</v>
      </c>
      <c r="B159" s="15"/>
      <c r="C159" s="36" t="s">
        <v>341</v>
      </c>
      <c r="D159" s="37" t="s">
        <v>342</v>
      </c>
      <c r="E159" s="37" t="s">
        <v>199</v>
      </c>
      <c r="F159" s="24">
        <v>4</v>
      </c>
      <c r="G159" s="48">
        <v>0.15</v>
      </c>
      <c r="H159" s="49">
        <f t="shared" si="13"/>
        <v>0.6</v>
      </c>
      <c r="I159" s="51" t="s">
        <v>343</v>
      </c>
      <c r="J159" s="25"/>
    </row>
    <row r="160" spans="1:10" ht="14.65" customHeight="1" x14ac:dyDescent="0.25">
      <c r="A160" s="24">
        <f t="shared" si="12"/>
        <v>157</v>
      </c>
      <c r="B160" s="15"/>
      <c r="C160" s="36" t="s">
        <v>344</v>
      </c>
      <c r="D160" s="37" t="s">
        <v>345</v>
      </c>
      <c r="E160" s="37" t="s">
        <v>199</v>
      </c>
      <c r="F160" s="24">
        <v>24</v>
      </c>
      <c r="G160" s="48">
        <v>0.05</v>
      </c>
      <c r="H160" s="49">
        <f t="shared" si="13"/>
        <v>1.2000000000000002</v>
      </c>
      <c r="I160" s="51" t="s">
        <v>346</v>
      </c>
      <c r="J160" s="25"/>
    </row>
    <row r="161" spans="1:10" ht="14.65" customHeight="1" x14ac:dyDescent="0.25">
      <c r="A161" s="24">
        <f t="shared" si="12"/>
        <v>158</v>
      </c>
      <c r="B161" s="15"/>
      <c r="C161" s="36" t="s">
        <v>347</v>
      </c>
      <c r="D161" s="37" t="s">
        <v>348</v>
      </c>
      <c r="E161" s="37" t="s">
        <v>199</v>
      </c>
      <c r="F161" s="24">
        <v>32</v>
      </c>
      <c r="G161" s="48">
        <v>0.09</v>
      </c>
      <c r="H161" s="49">
        <f t="shared" si="13"/>
        <v>2.88</v>
      </c>
      <c r="I161" s="51" t="s">
        <v>349</v>
      </c>
      <c r="J161" s="25"/>
    </row>
    <row r="162" spans="1:10" ht="14.65" customHeight="1" x14ac:dyDescent="0.25">
      <c r="A162" s="24">
        <f t="shared" si="12"/>
        <v>159</v>
      </c>
      <c r="B162" s="15"/>
      <c r="C162" s="36" t="s">
        <v>350</v>
      </c>
      <c r="D162" s="37" t="s">
        <v>351</v>
      </c>
      <c r="E162" s="37" t="s">
        <v>199</v>
      </c>
      <c r="F162" s="24">
        <v>30</v>
      </c>
      <c r="G162" s="48">
        <v>0.13</v>
      </c>
      <c r="H162" s="49">
        <f t="shared" si="13"/>
        <v>3.9000000000000004</v>
      </c>
      <c r="I162" s="51" t="s">
        <v>352</v>
      </c>
      <c r="J162" s="25"/>
    </row>
    <row r="163" spans="1:10" ht="15" thickBot="1" x14ac:dyDescent="0.3">
      <c r="G163" s="20" t="s">
        <v>0</v>
      </c>
      <c r="H163" s="21">
        <f>SUM(H4:H162)</f>
        <v>66446.100000000006</v>
      </c>
    </row>
    <row r="164" spans="1:10" ht="15" thickBot="1" x14ac:dyDescent="0.3">
      <c r="B164" s="22" t="s">
        <v>21</v>
      </c>
      <c r="C164" s="19"/>
      <c r="G164" s="3"/>
      <c r="H164" s="4"/>
    </row>
    <row r="165" spans="1:10" ht="15" thickBot="1" x14ac:dyDescent="0.3">
      <c r="B165" s="44" t="s">
        <v>22</v>
      </c>
      <c r="C165" s="19"/>
      <c r="G165" s="3"/>
      <c r="H165" s="4"/>
      <c r="I165" s="1"/>
    </row>
    <row r="166" spans="1:10" x14ac:dyDescent="0.25">
      <c r="C166" s="6"/>
      <c r="I166" s="1"/>
    </row>
    <row r="167" spans="1:10" x14ac:dyDescent="0.25">
      <c r="C167" s="33"/>
      <c r="D167" s="33"/>
    </row>
    <row r="168" spans="1:10" x14ac:dyDescent="0.25">
      <c r="C168" s="35" t="s">
        <v>23</v>
      </c>
      <c r="D168" s="43" t="s">
        <v>401</v>
      </c>
      <c r="E168" s="67">
        <v>45328</v>
      </c>
    </row>
    <row r="169" spans="1:10" ht="19.5" customHeight="1" x14ac:dyDescent="0.25">
      <c r="C169" s="27" t="s">
        <v>18</v>
      </c>
      <c r="D169" s="42" t="s">
        <v>19</v>
      </c>
      <c r="E169" s="42" t="s">
        <v>2</v>
      </c>
      <c r="I169" s="28"/>
    </row>
    <row r="170" spans="1:10" ht="19.5" customHeight="1" x14ac:dyDescent="0.25">
      <c r="C170" s="35" t="s">
        <v>9</v>
      </c>
      <c r="D170" s="43" t="s">
        <v>471</v>
      </c>
      <c r="E170" s="67">
        <v>45910</v>
      </c>
      <c r="I170" s="29"/>
    </row>
    <row r="171" spans="1:10" ht="19.5" customHeight="1" x14ac:dyDescent="0.25">
      <c r="C171" s="35" t="s">
        <v>8</v>
      </c>
      <c r="D171" s="43" t="s">
        <v>401</v>
      </c>
      <c r="E171" s="67">
        <v>45754</v>
      </c>
      <c r="I171" s="29"/>
    </row>
    <row r="172" spans="1:10" ht="19.5" customHeight="1" x14ac:dyDescent="0.25">
      <c r="C172" s="35" t="s">
        <v>20</v>
      </c>
      <c r="D172" s="43" t="s">
        <v>460</v>
      </c>
      <c r="E172" s="67">
        <v>45502</v>
      </c>
      <c r="I172" s="28"/>
    </row>
    <row r="173" spans="1:10" ht="19.5" customHeight="1" x14ac:dyDescent="0.25">
      <c r="C173" s="2"/>
      <c r="D173" s="2"/>
    </row>
    <row r="174" spans="1:10" ht="19.5" customHeight="1" x14ac:dyDescent="0.25">
      <c r="C174" s="32" t="s">
        <v>10</v>
      </c>
      <c r="D174" s="32" t="s">
        <v>433</v>
      </c>
    </row>
    <row r="175" spans="1:10" ht="19.5" customHeight="1" x14ac:dyDescent="0.25">
      <c r="C175" s="32" t="s">
        <v>24</v>
      </c>
      <c r="D175" s="32" t="s">
        <v>468</v>
      </c>
    </row>
    <row r="176" spans="1:10" ht="19.5" customHeight="1" x14ac:dyDescent="0.25">
      <c r="C176" s="32" t="str">
        <f>A1</f>
        <v>ASY00881-01 [DIRECTIONAL B RFCU]</v>
      </c>
      <c r="D176" s="32"/>
    </row>
    <row r="177" ht="19.5" customHeight="1" x14ac:dyDescent="0.25"/>
  </sheetData>
  <mergeCells count="11">
    <mergeCell ref="F2:F3"/>
    <mergeCell ref="B2:B3"/>
    <mergeCell ref="A1:J1"/>
    <mergeCell ref="I2:I3"/>
    <mergeCell ref="H2:H3"/>
    <mergeCell ref="G2:G3"/>
    <mergeCell ref="J2:J3"/>
    <mergeCell ref="A2:A3"/>
    <mergeCell ref="C2:C3"/>
    <mergeCell ref="D2:D3"/>
    <mergeCell ref="E2:E3"/>
  </mergeCells>
  <pageMargins left="0.7" right="0.7" top="0.75" bottom="0.75" header="0.3" footer="0.3"/>
  <pageSetup paperSize="3" scale="76" fitToHeight="0" orientation="landscape" r:id="rId1"/>
  <headerFooter scaleWithDoc="0">
    <oddHeader>&amp;C&amp;11CUI</oddHeader>
    <oddFooter>&amp;C&amp;11CUI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51B6-434C-4776-B6C4-FB19D395B7D8}">
  <sheetPr codeName="Sheet3">
    <pageSetUpPr fitToPage="1"/>
  </sheetPr>
  <dimension ref="A1:I22"/>
  <sheetViews>
    <sheetView workbookViewId="0">
      <selection activeCell="D10" sqref="D10"/>
    </sheetView>
  </sheetViews>
  <sheetFormatPr defaultRowHeight="12.5" x14ac:dyDescent="0.25"/>
  <cols>
    <col min="1" max="1" width="6" style="14" customWidth="1"/>
    <col min="2" max="2" width="16.7265625" customWidth="1"/>
    <col min="3" max="3" width="16.54296875" bestFit="1" customWidth="1"/>
    <col min="4" max="4" width="56.54296875" bestFit="1" customWidth="1"/>
    <col min="5" max="5" width="13.453125" bestFit="1" customWidth="1"/>
    <col min="6" max="6" width="18.54296875" bestFit="1" customWidth="1"/>
    <col min="7" max="7" width="30.7265625" customWidth="1"/>
  </cols>
  <sheetData>
    <row r="1" spans="1:9" ht="15.5" x14ac:dyDescent="0.35">
      <c r="A1" s="96" t="s">
        <v>3</v>
      </c>
      <c r="B1" s="98" t="s">
        <v>11</v>
      </c>
      <c r="C1" s="99"/>
      <c r="D1" s="99"/>
      <c r="E1" s="99"/>
      <c r="F1" s="99"/>
      <c r="G1" s="99" t="s">
        <v>12</v>
      </c>
      <c r="H1" s="7"/>
      <c r="I1" s="7"/>
    </row>
    <row r="2" spans="1:9" ht="14.5" x14ac:dyDescent="0.35">
      <c r="A2" s="97"/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100"/>
    </row>
    <row r="3" spans="1:9" x14ac:dyDescent="0.25">
      <c r="A3" s="9">
        <v>1</v>
      </c>
      <c r="B3" s="65" t="s">
        <v>417</v>
      </c>
      <c r="C3" s="66" t="s">
        <v>417</v>
      </c>
      <c r="D3" s="12" t="s">
        <v>418</v>
      </c>
      <c r="E3" s="10" t="s">
        <v>401</v>
      </c>
      <c r="F3" s="10"/>
      <c r="G3" s="13"/>
    </row>
    <row r="4" spans="1:9" x14ac:dyDescent="0.25">
      <c r="A4" s="9">
        <f>A3+1</f>
        <v>2</v>
      </c>
      <c r="B4" s="61" t="s">
        <v>432</v>
      </c>
      <c r="C4" s="62">
        <v>45358</v>
      </c>
      <c r="D4" s="63" t="s">
        <v>431</v>
      </c>
      <c r="E4" s="64" t="s">
        <v>430</v>
      </c>
      <c r="F4" s="10"/>
      <c r="G4" s="13"/>
    </row>
    <row r="5" spans="1:9" x14ac:dyDescent="0.25">
      <c r="A5" s="9">
        <f t="shared" ref="A5:A22" si="0">A4+1</f>
        <v>3</v>
      </c>
      <c r="B5" s="65" t="s">
        <v>436</v>
      </c>
      <c r="C5" s="66">
        <v>45411</v>
      </c>
      <c r="D5" s="13" t="s">
        <v>431</v>
      </c>
      <c r="E5" s="10" t="s">
        <v>434</v>
      </c>
      <c r="F5" s="10"/>
      <c r="G5" s="13"/>
    </row>
    <row r="6" spans="1:9" x14ac:dyDescent="0.25">
      <c r="A6" s="9">
        <f t="shared" si="0"/>
        <v>4</v>
      </c>
      <c r="B6" s="65" t="s">
        <v>439</v>
      </c>
      <c r="C6" s="66">
        <v>45484</v>
      </c>
      <c r="D6" s="12" t="s">
        <v>440</v>
      </c>
      <c r="E6" s="10" t="s">
        <v>434</v>
      </c>
      <c r="F6" s="10"/>
      <c r="G6" s="13"/>
    </row>
    <row r="7" spans="1:9" x14ac:dyDescent="0.25">
      <c r="A7" s="9">
        <f t="shared" si="0"/>
        <v>5</v>
      </c>
      <c r="B7" s="65" t="s">
        <v>442</v>
      </c>
      <c r="C7" s="66">
        <v>45610</v>
      </c>
      <c r="D7" s="12" t="s">
        <v>440</v>
      </c>
      <c r="E7" s="10" t="s">
        <v>441</v>
      </c>
      <c r="F7" s="10"/>
      <c r="G7" s="13"/>
    </row>
    <row r="8" spans="1:9" x14ac:dyDescent="0.25">
      <c r="A8" s="9">
        <f t="shared" si="0"/>
        <v>6</v>
      </c>
      <c r="B8" s="65" t="s">
        <v>462</v>
      </c>
      <c r="C8" s="66">
        <v>45691</v>
      </c>
      <c r="D8" s="12" t="s">
        <v>440</v>
      </c>
      <c r="E8" s="10" t="s">
        <v>463</v>
      </c>
      <c r="F8" s="10"/>
      <c r="G8" s="13"/>
    </row>
    <row r="9" spans="1:9" x14ac:dyDescent="0.25">
      <c r="A9" s="9">
        <f t="shared" si="0"/>
        <v>7</v>
      </c>
      <c r="B9" s="65" t="s">
        <v>469</v>
      </c>
      <c r="C9" s="66">
        <v>45827</v>
      </c>
      <c r="D9" s="12" t="s">
        <v>440</v>
      </c>
      <c r="E9" s="10" t="s">
        <v>434</v>
      </c>
      <c r="F9" s="10"/>
      <c r="G9" s="13"/>
    </row>
    <row r="10" spans="1:9" x14ac:dyDescent="0.25">
      <c r="A10" s="9">
        <f t="shared" si="0"/>
        <v>8</v>
      </c>
      <c r="B10" s="65"/>
      <c r="C10" s="66"/>
      <c r="D10" s="12"/>
      <c r="E10" s="10"/>
      <c r="F10" s="10"/>
      <c r="G10" s="13"/>
    </row>
    <row r="11" spans="1:9" x14ac:dyDescent="0.25">
      <c r="A11" s="9">
        <f t="shared" si="0"/>
        <v>9</v>
      </c>
      <c r="B11" s="65"/>
      <c r="C11" s="66"/>
      <c r="D11" s="12"/>
      <c r="E11" s="10"/>
      <c r="F11" s="10"/>
      <c r="G11" s="13"/>
    </row>
    <row r="12" spans="1:9" x14ac:dyDescent="0.25">
      <c r="A12" s="9">
        <f t="shared" si="0"/>
        <v>10</v>
      </c>
      <c r="B12" s="65"/>
      <c r="C12" s="66"/>
      <c r="D12" s="12"/>
      <c r="E12" s="10"/>
      <c r="F12" s="10"/>
      <c r="G12" s="13"/>
    </row>
    <row r="13" spans="1:9" x14ac:dyDescent="0.25">
      <c r="A13" s="9">
        <f t="shared" si="0"/>
        <v>11</v>
      </c>
      <c r="B13" s="65"/>
      <c r="C13" s="66"/>
      <c r="D13" s="12"/>
      <c r="E13" s="10"/>
      <c r="F13" s="10"/>
      <c r="G13" s="13"/>
    </row>
    <row r="14" spans="1:9" x14ac:dyDescent="0.25">
      <c r="A14" s="9">
        <f t="shared" si="0"/>
        <v>12</v>
      </c>
      <c r="B14" s="65"/>
      <c r="C14" s="66"/>
      <c r="D14" s="12"/>
      <c r="E14" s="10"/>
      <c r="F14" s="10"/>
      <c r="G14" s="13"/>
    </row>
    <row r="15" spans="1:9" ht="14.5" x14ac:dyDescent="0.35">
      <c r="A15" s="9">
        <f t="shared" si="0"/>
        <v>13</v>
      </c>
      <c r="B15" s="65"/>
      <c r="C15" s="66"/>
      <c r="D15" s="16"/>
      <c r="E15" s="17"/>
      <c r="F15" s="17"/>
      <c r="G15" s="18"/>
    </row>
    <row r="16" spans="1:9" x14ac:dyDescent="0.25">
      <c r="A16" s="9">
        <f t="shared" si="0"/>
        <v>14</v>
      </c>
      <c r="B16" s="65"/>
      <c r="C16" s="66"/>
      <c r="D16" s="12"/>
      <c r="E16" s="10"/>
      <c r="F16" s="10"/>
      <c r="G16" s="13"/>
    </row>
    <row r="17" spans="1:7" x14ac:dyDescent="0.25">
      <c r="A17" s="9">
        <f t="shared" si="0"/>
        <v>15</v>
      </c>
      <c r="B17" s="10"/>
      <c r="C17" s="11"/>
      <c r="D17" s="12"/>
      <c r="E17" s="10"/>
      <c r="F17" s="10"/>
      <c r="G17" s="13"/>
    </row>
    <row r="18" spans="1:7" x14ac:dyDescent="0.25">
      <c r="A18" s="9">
        <f t="shared" si="0"/>
        <v>16</v>
      </c>
      <c r="B18" s="10"/>
      <c r="C18" s="11"/>
      <c r="D18" s="12"/>
      <c r="E18" s="10"/>
      <c r="F18" s="10"/>
      <c r="G18" s="13"/>
    </row>
    <row r="19" spans="1:7" x14ac:dyDescent="0.25">
      <c r="A19" s="9">
        <f t="shared" si="0"/>
        <v>17</v>
      </c>
      <c r="B19" s="10"/>
      <c r="C19" s="11"/>
      <c r="D19" s="12"/>
      <c r="E19" s="10"/>
      <c r="F19" s="10"/>
      <c r="G19" s="13"/>
    </row>
    <row r="20" spans="1:7" x14ac:dyDescent="0.25">
      <c r="A20" s="9">
        <f t="shared" si="0"/>
        <v>18</v>
      </c>
      <c r="B20" s="10"/>
      <c r="C20" s="11"/>
      <c r="D20" s="12"/>
      <c r="E20" s="10"/>
      <c r="F20" s="10"/>
      <c r="G20" s="13"/>
    </row>
    <row r="21" spans="1:7" x14ac:dyDescent="0.25">
      <c r="A21" s="9">
        <f t="shared" si="0"/>
        <v>19</v>
      </c>
      <c r="B21" s="10"/>
      <c r="C21" s="11"/>
      <c r="D21" s="12"/>
      <c r="E21" s="10"/>
      <c r="F21" s="10"/>
      <c r="G21" s="13"/>
    </row>
    <row r="22" spans="1:7" x14ac:dyDescent="0.25">
      <c r="A22" s="9">
        <f t="shared" si="0"/>
        <v>20</v>
      </c>
      <c r="B22" s="10"/>
      <c r="C22" s="11"/>
      <c r="D22" s="12"/>
      <c r="E22" s="10"/>
      <c r="F22" s="10"/>
      <c r="G22" s="13"/>
    </row>
  </sheetData>
  <mergeCells count="3">
    <mergeCell ref="A1:A2"/>
    <mergeCell ref="B1:F1"/>
    <mergeCell ref="G1:G2"/>
  </mergeCells>
  <pageMargins left="0.7" right="0.7" top="0.75" bottom="0.75" header="0.3" footer="0.3"/>
  <pageSetup scale="58" fitToHeight="0" orientation="portrait" r:id="rId1"/>
  <headerFooter scaleWithDoc="0">
    <oddHeader>&amp;C&amp;11CUI</oddHeader>
    <oddFooter>&amp;C&amp;11CUI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782870A0C5D0429C71DD049ECF7D98" ma:contentTypeVersion="1" ma:contentTypeDescription="Create a new document." ma:contentTypeScope="" ma:versionID="63555d51d463fb3c3f56941d38591c2a">
  <xsd:schema xmlns:xsd="http://www.w3.org/2001/XMLSchema" xmlns:xs="http://www.w3.org/2001/XMLSchema" xmlns:p="http://schemas.microsoft.com/office/2006/metadata/properties" xmlns:ns2="99fd9e94-4693-4cb9-b556-a91b831a58b5" targetNamespace="http://schemas.microsoft.com/office/2006/metadata/properties" ma:root="true" ma:fieldsID="264777cf0e7d51f84f7247eee859e672" ns2:_="">
    <xsd:import namespace="99fd9e94-4693-4cb9-b556-a91b831a58b5"/>
    <xsd:element name="properties">
      <xsd:complexType>
        <xsd:sequence>
          <xsd:element name="documentManagement">
            <xsd:complexType>
              <xsd:all>
                <xsd:element ref="ns2:Notes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d9e94-4693-4cb9-b556-a91b831a58b5" elementFormDefault="qualified">
    <xsd:import namespace="http://schemas.microsoft.com/office/2006/documentManagement/types"/>
    <xsd:import namespace="http://schemas.microsoft.com/office/infopath/2007/PartnerControls"/>
    <xsd:element name="Notes0" ma:index="8" nillable="true" ma:displayName="Notes" ma:description="Notes" ma:internalName="Notes0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0 xmlns="99fd9e94-4693-4cb9-b556-a91b831a58b5" xsi:nil="true"/>
  </documentManagement>
</p:properties>
</file>

<file path=customXml/itemProps1.xml><?xml version="1.0" encoding="utf-8"?>
<ds:datastoreItem xmlns:ds="http://schemas.openxmlformats.org/officeDocument/2006/customXml" ds:itemID="{806B2FC8-FA3D-47B5-BE23-011EEB04A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d9e94-4693-4cb9-b556-a91b831a5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7EE7D-27D2-4CC6-8CFE-B9EC924A0A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2DFA3B-204E-400A-98AC-99BF7D349AF0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99fd9e94-4693-4cb9-b556-a91b831a58b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ASY00881-01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hainesj</dc:creator>
  <cp:lastModifiedBy>BURNETTE, CHRISTIAN - US</cp:lastModifiedBy>
  <cp:lastPrinted>2025-01-13T12:17:14Z</cp:lastPrinted>
  <dcterms:created xsi:type="dcterms:W3CDTF">2011-05-26T18:44:02Z</dcterms:created>
  <dcterms:modified xsi:type="dcterms:W3CDTF">2025-09-10T14:09:50Z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0x01010054782870A0C5D0429C71DD049ECF7D98</vt:lpwstr>
  </property>
  <property fmtid="{D5CDD505-2E9C-101B-9397-08002B2CF9AE}" pid="3" name="Revision">
    <vt:lpwstr>-</vt:lpwstr>
  </property>
  <property fmtid="{D5CDD505-2E9C-101B-9397-08002B2CF9AE}" pid="4" name="Description">
    <vt:lpwstr>DESCRIPTION_SYSTEM_DIAGRAM</vt:lpwstr>
  </property>
</Properties>
</file>